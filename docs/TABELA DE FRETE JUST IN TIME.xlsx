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/>
  </bookViews>
  <sheets>
    <sheet name="TABELA DE FRETES" sheetId="1" r:id="rId1"/>
    <sheet name="TABELA DE ADICIONAIS" sheetId="2" r:id="rId2"/>
    <sheet name="TABELA ARMAZENAGEM" sheetId="3" r:id="rId3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/>
  <c r="I5" s="1"/>
  <c r="I6" s="1"/>
  <c r="I7" s="1"/>
  <c r="I8" s="1"/>
  <c r="I9" s="1"/>
  <c r="I10" s="1"/>
  <c r="I11" s="1"/>
  <c r="I12" s="1"/>
  <c r="I13" s="1"/>
  <c r="I14" s="1"/>
  <c r="I15" s="1"/>
  <c r="I16" s="1"/>
  <c r="H4"/>
  <c r="H5" s="1"/>
  <c r="H6" s="1"/>
  <c r="H7" s="1"/>
  <c r="H8" s="1"/>
  <c r="H9" s="1"/>
  <c r="H10" s="1"/>
  <c r="H11" s="1"/>
  <c r="H12" s="1"/>
  <c r="H13" s="1"/>
  <c r="H14" s="1"/>
  <c r="H15" s="1"/>
  <c r="H16" s="1"/>
  <c r="G4"/>
  <c r="G5" s="1"/>
  <c r="G6" s="1"/>
  <c r="G7" s="1"/>
  <c r="G8" s="1"/>
  <c r="G9" s="1"/>
  <c r="G10" s="1"/>
  <c r="G11" s="1"/>
  <c r="G12" s="1"/>
  <c r="G13" s="1"/>
  <c r="G14" s="1"/>
  <c r="G15" s="1"/>
  <c r="G16" s="1"/>
  <c r="F4"/>
  <c r="F5" s="1"/>
  <c r="F6" s="1"/>
  <c r="F7" s="1"/>
  <c r="F8" s="1"/>
  <c r="F9" s="1"/>
  <c r="F10" s="1"/>
  <c r="F11" s="1"/>
  <c r="F12" s="1"/>
  <c r="F13" s="1"/>
  <c r="F14" s="1"/>
  <c r="F15" s="1"/>
  <c r="F16" s="1"/>
  <c r="E4"/>
  <c r="E5" s="1"/>
  <c r="E6" s="1"/>
  <c r="E7" s="1"/>
  <c r="E8" s="1"/>
  <c r="E9" s="1"/>
  <c r="E10" s="1"/>
  <c r="E11" s="1"/>
  <c r="E12" s="1"/>
  <c r="E13" s="1"/>
  <c r="E14" s="1"/>
  <c r="E15" s="1"/>
  <c r="E16" s="1"/>
  <c r="D4"/>
  <c r="D5" s="1"/>
  <c r="D6" s="1"/>
  <c r="D7" s="1"/>
  <c r="D8" s="1"/>
  <c r="D9" s="1"/>
  <c r="D10" s="1"/>
  <c r="D11" s="1"/>
  <c r="D12" s="1"/>
  <c r="D13" s="1"/>
  <c r="D14" s="1"/>
  <c r="D15" s="1"/>
  <c r="D16" s="1"/>
  <c r="C4"/>
  <c r="C5" s="1"/>
  <c r="C6" s="1"/>
  <c r="C7" s="1"/>
  <c r="C8" s="1"/>
  <c r="C9" s="1"/>
  <c r="C10" s="1"/>
  <c r="C11" s="1"/>
  <c r="C12" s="1"/>
  <c r="C13" s="1"/>
  <c r="C14" s="1"/>
  <c r="C15" s="1"/>
  <c r="C16" s="1"/>
  <c r="B4"/>
  <c r="B5" s="1"/>
  <c r="B6" s="1"/>
  <c r="B7" s="1"/>
  <c r="B8" s="1"/>
  <c r="B9" s="1"/>
  <c r="B10" s="1"/>
  <c r="B11" s="1"/>
  <c r="B12" s="1"/>
  <c r="B13" s="1"/>
  <c r="B14" s="1"/>
  <c r="B15" s="1"/>
  <c r="B16" s="1"/>
</calcChain>
</file>

<file path=xl/sharedStrings.xml><?xml version="1.0" encoding="utf-8"?>
<sst xmlns="http://schemas.openxmlformats.org/spreadsheetml/2006/main" count="277" uniqueCount="86">
  <si>
    <t>ZONA OESTE 1</t>
  </si>
  <si>
    <t>PESO (KG)</t>
  </si>
  <si>
    <t>VALOR</t>
  </si>
  <si>
    <t>ZONA OESTE 2</t>
  </si>
  <si>
    <t>Recreio dos Bandeirantes, Garnenia,Azul, Anil, Barra da Tijuca, Joá, Itanhangá, Jacarépagua, Freguesia, Taquara, Tanque, Praça Seca, Camorim, Jardim Sulacap, Vila Valqueire</t>
  </si>
  <si>
    <t>1 até 100</t>
  </si>
  <si>
    <t>Guaratiba, Pedra de Guaratiba, Campo Grande, Santa Cruz, Barra de Guarariba, Vargem Grande</t>
  </si>
  <si>
    <t>100 até 250</t>
  </si>
  <si>
    <t>250 até 500</t>
  </si>
  <si>
    <t>500 até 1.000</t>
  </si>
  <si>
    <t>1.001 até 2.000</t>
  </si>
  <si>
    <t>2.001 até 3.500</t>
  </si>
  <si>
    <t>3.500 até 5.000</t>
  </si>
  <si>
    <t>5.001 até 7.000</t>
  </si>
  <si>
    <t>7.001 até 12.000</t>
  </si>
  <si>
    <t>ZONA SUL</t>
  </si>
  <si>
    <t>BAIXADA FLUMINENSE</t>
  </si>
  <si>
    <t>Flamengo, Botafogo, Cosme Velho, Glória, Humaitá, Santa Teresa, Catete, Copacabana, Ipanema, Leblon, Jardim Botânico, Lagoa, São Conrado, Leme, Gávea</t>
  </si>
  <si>
    <t>Caxias, Nova Iguaçu, Belford Roxo, Mesquita, Queimados, Eng Pedreira, Japeri, Nilopólis</t>
  </si>
  <si>
    <t>ZONA NORTE 1</t>
  </si>
  <si>
    <t>ZONA NORTE 2</t>
  </si>
  <si>
    <t>Cachambi, Pilares, Piedade, Cascadura, Madureira, Todos os Santos, Bonsucesso, Ramos, Penha, Engenho de Dentro,Ilha do Governador</t>
  </si>
  <si>
    <t>Macaranã, Tijuca, Vila Isabel, Grajaú, Andaraí, Alto da Boa Vista, Caju, Centro</t>
  </si>
  <si>
    <t>NORTE FLUMINENSE</t>
  </si>
  <si>
    <t>NOROESTE FLUMINENSE</t>
  </si>
  <si>
    <t>Conceição de Macabu, Quisamã, Campos, São João da Barra</t>
  </si>
  <si>
    <t>Cordeiro, Santo Antônio de Padua, Piratininga, Latoca, Aperibé, Miracema, Laje do Muriaé, Natividade, Muriaé, Itaperuna, Macuco, Cantagalo</t>
  </si>
  <si>
    <t>REGIÃO SERRANA 1</t>
  </si>
  <si>
    <t>REGIÃO SERRANA 2</t>
  </si>
  <si>
    <t>Petropólis, Itaipava, Três Rios, Areal</t>
  </si>
  <si>
    <t>Teresopólis, Cachoeira de Macacu, Friburgo, Bom Jardim, Nova Friburgo</t>
  </si>
  <si>
    <t>NITEROI 1</t>
  </si>
  <si>
    <t>NITEROI 2</t>
  </si>
  <si>
    <t>Niteroi, Centro, Icarai, Santa Rosa, Pendotiba, Piratininga, Itaipu, Camboinhas, São Francisco, Charitas</t>
  </si>
  <si>
    <t>São Gonçalo, Itaborai, Rio Bonito, Tanga</t>
  </si>
  <si>
    <t>REGIÃO DOS LAGOS 1</t>
  </si>
  <si>
    <t>REGIÃO DOS LAGOS 2</t>
  </si>
  <si>
    <t>Marica, Araruama, Saquarema, Iguaba, Cabo Frio, Arraial do cano, Búzios, São Pedro da Aldeia</t>
  </si>
  <si>
    <t>Cassimiro de Abreu, Rios das Ostras, Macaé, Silva Jardim</t>
  </si>
  <si>
    <t>COSTA VERDE 1</t>
  </si>
  <si>
    <t>COSTA VERDE 2</t>
  </si>
  <si>
    <t>Iataguai, Itacuruça, Coroa Grande, Muriqui, Conceição de Jacarei, Mangaratiba</t>
  </si>
  <si>
    <t>Angra dos Reis, Paraty, Rio Claro, Lídice</t>
  </si>
  <si>
    <t>VALE DO PARAIBA1</t>
  </si>
  <si>
    <t>VALE DO PARAIBA 2</t>
  </si>
  <si>
    <t>Parai, Barra do Parai, Volta Redonda, Rio das Flore, Itatiaia, Porto Real, Quatis, Barra Mansa, Resende, Valença, Pinheiral</t>
  </si>
  <si>
    <t>Miguel Pereira, Paty Alferes, Mendes, Paraiba do Sul, Vassouras, Avelar</t>
  </si>
  <si>
    <t>OBSERVAÇÕES</t>
  </si>
  <si>
    <t>Adicional de Escada e distância (quando o caminhão não parar próximo ao local da entrega: Apartir de R$ 100,00</t>
  </si>
  <si>
    <t>TABELA DE FRETES E ARMAZENAGEM ALBERTO TRANSPORTADORA</t>
  </si>
  <si>
    <t>Adicinal: Apartir de R$ 100,00;</t>
  </si>
  <si>
    <t>ADICIONAL</t>
  </si>
  <si>
    <t>PESO</t>
  </si>
  <si>
    <t>DISTANCIA</t>
  </si>
  <si>
    <t>MATERIAL GRANDE</t>
  </si>
  <si>
    <t>ESCADA</t>
  </si>
  <si>
    <t>RAMPA</t>
  </si>
  <si>
    <t>SUB SOLO  E DÍCIL ACESSO</t>
  </si>
  <si>
    <t>SÁBADO</t>
  </si>
  <si>
    <t>NOTURNO</t>
  </si>
  <si>
    <t>CAMINHÃO NÃO PARA</t>
  </si>
  <si>
    <t>0 à 500</t>
  </si>
  <si>
    <t>500 à 1000</t>
  </si>
  <si>
    <t>1500 à 2000</t>
  </si>
  <si>
    <t>2000 à 2500</t>
  </si>
  <si>
    <t>3000 à 3500</t>
  </si>
  <si>
    <t>4000 à 4500</t>
  </si>
  <si>
    <t>5000 à 5500</t>
  </si>
  <si>
    <t>6000 à 6500</t>
  </si>
  <si>
    <t>7000 à 7500</t>
  </si>
  <si>
    <t>8000 à 8500</t>
  </si>
  <si>
    <t>9000 à 9500</t>
  </si>
  <si>
    <t>10000 à 10500</t>
  </si>
  <si>
    <t>11000 à 11500</t>
  </si>
  <si>
    <t>OBS: SE HOUVER ENTREGA COM MAIS DE UM DOS ADICIONAIS NO MESMO LOCAL, NÓS INFORMAREMOS, E NEGOCIAREMOS NOVOS VALORES.</t>
  </si>
  <si>
    <t>ARMAZENAGEM E MOVIMENTAÇÃO DE PALLETS</t>
  </si>
  <si>
    <t>ENTRADA POR PALLET</t>
  </si>
  <si>
    <t>EMBALAR CAIXAS</t>
  </si>
  <si>
    <t>ARMAZENAGEM QUINZENAL POR PALLET</t>
  </si>
  <si>
    <t>SAÍDA DE PALLET (CAMINHÕES TERCEIROS)</t>
  </si>
  <si>
    <t>REPALLETIZAÇÃO</t>
  </si>
  <si>
    <t>à combinar</t>
  </si>
  <si>
    <t>MOVIMENTAÇÃO DE PALLET</t>
  </si>
  <si>
    <t>1 até 50</t>
  </si>
  <si>
    <t>51 até 100</t>
  </si>
  <si>
    <t>251 até 500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</si>
</sst>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164" formatCode="&quot;R$&quot;\ #,##0.00"/>
    <numFmt numFmtId="165" formatCode="&quot;R$&quot;#,##0.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0" xfId="0" applyFont="1"/>
    <xf numFmtId="0" fontId="6" fillId="0" borderId="4" xfId="0" applyFont="1" applyBorder="1"/>
    <xf numFmtId="0" fontId="6" fillId="0" borderId="1" xfId="0" applyFont="1" applyBorder="1"/>
    <xf numFmtId="164" fontId="6" fillId="0" borderId="4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0" fontId="3" fillId="2" borderId="1" xfId="0" applyFont="1" applyFill="1" applyBorder="1" applyAlignment="1">
      <alignment horizontal="center"/>
    </xf>
    <xf numFmtId="44" fontId="8" fillId="2" borderId="1" xfId="1" applyFont="1" applyFill="1" applyBorder="1" applyAlignment="1">
      <alignment horizontal="center"/>
    </xf>
    <xf numFmtId="44" fontId="8" fillId="2" borderId="0" xfId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44" fontId="9" fillId="0" borderId="0" xfId="1" applyFont="1" applyBorder="1" applyAlignment="1">
      <alignment horizontal="center"/>
    </xf>
    <xf numFmtId="44" fontId="7" fillId="0" borderId="0" xfId="0" applyNumberFormat="1" applyFont="1"/>
    <xf numFmtId="164" fontId="7" fillId="0" borderId="1" xfId="0" applyNumberFormat="1" applyFont="1" applyBorder="1"/>
    <xf numFmtId="164" fontId="8" fillId="2" borderId="1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4" fontId="9" fillId="0" borderId="0" xfId="1" applyFont="1" applyAlignment="1">
      <alignment horizontal="center"/>
    </xf>
    <xf numFmtId="164" fontId="9" fillId="0" borderId="0" xfId="1" applyNumberFormat="1" applyFont="1" applyAlignment="1">
      <alignment horizontal="center"/>
    </xf>
    <xf numFmtId="44" fontId="7" fillId="0" borderId="0" xfId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4" fontId="11" fillId="0" borderId="6" xfId="1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0" fillId="0" borderId="0" xfId="0" applyFont="1" applyAlignment="1">
      <alignment horizontal="center"/>
    </xf>
    <xf numFmtId="44" fontId="11" fillId="0" borderId="0" xfId="1" applyFont="1" applyAlignment="1">
      <alignment horizontal="center"/>
    </xf>
    <xf numFmtId="0" fontId="11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4" fontId="9" fillId="0" borderId="11" xfId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xmlns="" id="{8E517B42-77B2-C9D2-ADC8-2D2285E0404D}"/>
            </a:ext>
          </a:extLst>
        </xdr:cNvPr>
        <xdr:cNvSpPr>
          <a:spLocks noChangeAspect="1" noChangeArrowheads="1"/>
        </xdr:cNvSpPr>
      </xdr:nvSpPr>
      <xdr:spPr bwMode="auto">
        <a:xfrm>
          <a:off x="0" y="197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7620</xdr:rowOff>
    </xdr:from>
    <xdr:to>
      <xdr:col>4</xdr:col>
      <xdr:colOff>341630</xdr:colOff>
      <xdr:row>120</xdr:row>
      <xdr:rowOff>67945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EAB0938F-7698-B834-F1DE-10AA55349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9225260"/>
          <a:ext cx="5325110" cy="163766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1416050</xdr:colOff>
      <xdr:row>27</xdr:row>
      <xdr:rowOff>174625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D96E604A-D309-480A-94E6-4842FF5AB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3474720"/>
          <a:ext cx="5325110" cy="16376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</xdr:col>
      <xdr:colOff>2132330</xdr:colOff>
      <xdr:row>15</xdr:row>
      <xdr:rowOff>37465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0D460E22-D0BA-4466-9AF7-8575A84DA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836420"/>
          <a:ext cx="5325110" cy="1637665"/>
        </a:xfrm>
        <a:prstGeom prst="rect">
          <a:avLst/>
        </a:prstGeom>
        <a:noFill/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>
      <selection activeCell="L31" sqref="L31"/>
    </sheetView>
  </sheetViews>
  <sheetFormatPr defaultRowHeight="13.8"/>
  <cols>
    <col min="1" max="1" width="44.88671875" style="10" customWidth="1"/>
    <col min="2" max="2" width="14.77734375" style="10" bestFit="1" customWidth="1"/>
    <col min="3" max="3" width="11.88671875" style="10" bestFit="1" customWidth="1"/>
    <col min="4" max="4" width="1.109375" style="10" customWidth="1"/>
    <col min="5" max="5" width="44.6640625" style="10" customWidth="1"/>
    <col min="6" max="6" width="14.77734375" style="10" bestFit="1" customWidth="1"/>
    <col min="7" max="7" width="11.88671875" style="10" bestFit="1" customWidth="1"/>
    <col min="8" max="8" width="10.33203125" style="10" bestFit="1" customWidth="1"/>
    <col min="9" max="10" width="11.88671875" style="10" bestFit="1" customWidth="1"/>
    <col min="11" max="16384" width="8.88671875" style="10"/>
  </cols>
  <sheetData>
    <row r="1" spans="1:9">
      <c r="A1" s="44" t="s">
        <v>49</v>
      </c>
      <c r="B1" s="44"/>
      <c r="C1" s="44"/>
      <c r="D1" s="44"/>
      <c r="E1" s="44"/>
      <c r="F1" s="44"/>
      <c r="G1" s="44"/>
    </row>
    <row r="2" spans="1:9">
      <c r="A2" s="11" t="s">
        <v>0</v>
      </c>
      <c r="B2" s="11" t="s">
        <v>1</v>
      </c>
      <c r="C2" s="12" t="s">
        <v>2</v>
      </c>
      <c r="D2" s="13"/>
      <c r="E2" s="11" t="s">
        <v>3</v>
      </c>
      <c r="F2" s="11" t="s">
        <v>1</v>
      </c>
      <c r="G2" s="12" t="s">
        <v>2</v>
      </c>
    </row>
    <row r="3" spans="1:9">
      <c r="A3" s="41" t="s">
        <v>4</v>
      </c>
      <c r="B3" s="14" t="s">
        <v>83</v>
      </c>
      <c r="C3" s="15">
        <v>90</v>
      </c>
      <c r="D3" s="16"/>
      <c r="E3" s="41" t="s">
        <v>6</v>
      </c>
      <c r="F3" s="14" t="s">
        <v>83</v>
      </c>
      <c r="G3" s="15">
        <v>90</v>
      </c>
      <c r="H3" s="17"/>
      <c r="I3" s="17"/>
    </row>
    <row r="4" spans="1:9">
      <c r="A4" s="42"/>
      <c r="B4" s="14" t="s">
        <v>84</v>
      </c>
      <c r="C4" s="15">
        <v>120</v>
      </c>
      <c r="D4" s="16"/>
      <c r="E4" s="42"/>
      <c r="F4" s="14" t="s">
        <v>84</v>
      </c>
      <c r="G4" s="15">
        <v>120</v>
      </c>
      <c r="H4" s="17"/>
      <c r="I4" s="17"/>
    </row>
    <row r="5" spans="1:9">
      <c r="A5" s="42"/>
      <c r="B5" s="14" t="s">
        <v>7</v>
      </c>
      <c r="C5" s="15">
        <v>170</v>
      </c>
      <c r="D5" s="16"/>
      <c r="E5" s="42"/>
      <c r="F5" s="14" t="s">
        <v>7</v>
      </c>
      <c r="G5" s="15">
        <v>170</v>
      </c>
      <c r="H5" s="17"/>
      <c r="I5" s="17"/>
    </row>
    <row r="6" spans="1:9">
      <c r="A6" s="42"/>
      <c r="B6" s="14" t="s">
        <v>85</v>
      </c>
      <c r="C6" s="15">
        <v>243.23</v>
      </c>
      <c r="D6" s="16"/>
      <c r="E6" s="42"/>
      <c r="F6" s="14" t="s">
        <v>8</v>
      </c>
      <c r="G6" s="18">
        <v>285.87</v>
      </c>
      <c r="H6" s="17"/>
      <c r="I6" s="17"/>
    </row>
    <row r="7" spans="1:9">
      <c r="A7" s="42"/>
      <c r="B7" s="14" t="s">
        <v>9</v>
      </c>
      <c r="C7" s="15">
        <v>395.25</v>
      </c>
      <c r="D7" s="16"/>
      <c r="E7" s="42"/>
      <c r="F7" s="14" t="s">
        <v>9</v>
      </c>
      <c r="G7" s="18">
        <v>435.93</v>
      </c>
      <c r="H7" s="17"/>
      <c r="I7" s="17"/>
    </row>
    <row r="8" spans="1:9">
      <c r="A8" s="42"/>
      <c r="B8" s="14" t="s">
        <v>10</v>
      </c>
      <c r="C8" s="15">
        <v>532.08000000000004</v>
      </c>
      <c r="D8" s="16"/>
      <c r="E8" s="42"/>
      <c r="F8" s="14" t="s">
        <v>10</v>
      </c>
      <c r="G8" s="18">
        <v>604.44000000000005</v>
      </c>
      <c r="H8" s="17"/>
      <c r="I8" s="17"/>
    </row>
    <row r="9" spans="1:9">
      <c r="A9" s="42"/>
      <c r="B9" s="14" t="s">
        <v>11</v>
      </c>
      <c r="C9" s="15">
        <v>653.70000000000005</v>
      </c>
      <c r="D9" s="16"/>
      <c r="E9" s="42"/>
      <c r="F9" s="14" t="s">
        <v>11</v>
      </c>
      <c r="G9" s="18">
        <v>808.97</v>
      </c>
      <c r="H9" s="17"/>
      <c r="I9" s="17"/>
    </row>
    <row r="10" spans="1:9">
      <c r="A10" s="42"/>
      <c r="B10" s="14" t="s">
        <v>12</v>
      </c>
      <c r="C10" s="15">
        <v>881.73</v>
      </c>
      <c r="D10" s="16"/>
      <c r="E10" s="42"/>
      <c r="F10" s="14" t="s">
        <v>12</v>
      </c>
      <c r="G10" s="18">
        <v>1078.07</v>
      </c>
      <c r="H10" s="17"/>
      <c r="I10" s="17"/>
    </row>
    <row r="11" spans="1:9">
      <c r="A11" s="42"/>
      <c r="B11" s="14" t="s">
        <v>13</v>
      </c>
      <c r="C11" s="15">
        <v>1079.3599999999999</v>
      </c>
      <c r="D11" s="16"/>
      <c r="E11" s="42"/>
      <c r="F11" s="14" t="s">
        <v>13</v>
      </c>
      <c r="G11" s="18">
        <v>1296.94</v>
      </c>
      <c r="H11" s="17"/>
      <c r="I11" s="17"/>
    </row>
    <row r="12" spans="1:9">
      <c r="A12" s="43"/>
      <c r="B12" s="14" t="s">
        <v>14</v>
      </c>
      <c r="C12" s="15">
        <v>1520.21</v>
      </c>
      <c r="D12" s="16"/>
      <c r="E12" s="43"/>
      <c r="F12" s="14" t="s">
        <v>14</v>
      </c>
      <c r="G12" s="18">
        <v>1676.64</v>
      </c>
      <c r="H12" s="17"/>
      <c r="I12" s="17"/>
    </row>
    <row r="13" spans="1:9">
      <c r="A13" s="11" t="s">
        <v>15</v>
      </c>
      <c r="B13" s="11" t="s">
        <v>1</v>
      </c>
      <c r="C13" s="12" t="s">
        <v>2</v>
      </c>
      <c r="D13" s="13"/>
      <c r="E13" s="11" t="s">
        <v>16</v>
      </c>
      <c r="F13" s="11" t="s">
        <v>1</v>
      </c>
      <c r="G13" s="19" t="s">
        <v>2</v>
      </c>
    </row>
    <row r="14" spans="1:9">
      <c r="A14" s="41" t="s">
        <v>17</v>
      </c>
      <c r="B14" s="14" t="s">
        <v>83</v>
      </c>
      <c r="C14" s="15">
        <v>90</v>
      </c>
      <c r="D14" s="16"/>
      <c r="E14" s="41" t="s">
        <v>18</v>
      </c>
      <c r="F14" s="14" t="s">
        <v>83</v>
      </c>
      <c r="G14" s="15">
        <v>90</v>
      </c>
      <c r="H14" s="17"/>
      <c r="I14" s="17"/>
    </row>
    <row r="15" spans="1:9">
      <c r="A15" s="42"/>
      <c r="B15" s="14" t="s">
        <v>84</v>
      </c>
      <c r="C15" s="15">
        <v>120</v>
      </c>
      <c r="D15" s="16"/>
      <c r="E15" s="42"/>
      <c r="F15" s="14" t="s">
        <v>84</v>
      </c>
      <c r="G15" s="15">
        <v>120</v>
      </c>
      <c r="H15" s="17"/>
      <c r="I15" s="17"/>
    </row>
    <row r="16" spans="1:9">
      <c r="A16" s="42"/>
      <c r="B16" s="14" t="s">
        <v>7</v>
      </c>
      <c r="C16" s="15">
        <v>170</v>
      </c>
      <c r="D16" s="16"/>
      <c r="E16" s="42"/>
      <c r="F16" s="14" t="s">
        <v>7</v>
      </c>
      <c r="G16" s="15">
        <v>170</v>
      </c>
      <c r="H16" s="17"/>
      <c r="I16" s="17"/>
    </row>
    <row r="17" spans="1:9">
      <c r="A17" s="42"/>
      <c r="B17" s="14" t="s">
        <v>8</v>
      </c>
      <c r="C17" s="15">
        <v>250.84</v>
      </c>
      <c r="D17" s="16"/>
      <c r="E17" s="42"/>
      <c r="F17" s="14" t="s">
        <v>8</v>
      </c>
      <c r="G17" s="18">
        <v>250.84</v>
      </c>
      <c r="H17" s="17"/>
      <c r="I17" s="17"/>
    </row>
    <row r="18" spans="1:9">
      <c r="A18" s="42"/>
      <c r="B18" s="14" t="s">
        <v>9</v>
      </c>
      <c r="C18" s="15">
        <v>398</v>
      </c>
      <c r="D18" s="16"/>
      <c r="E18" s="42"/>
      <c r="F18" s="14" t="s">
        <v>9</v>
      </c>
      <c r="G18" s="18">
        <v>401.34</v>
      </c>
      <c r="H18" s="17"/>
      <c r="I18" s="17"/>
    </row>
    <row r="19" spans="1:9">
      <c r="A19" s="42"/>
      <c r="B19" s="14" t="s">
        <v>10</v>
      </c>
      <c r="C19" s="15">
        <v>602.01</v>
      </c>
      <c r="D19" s="16"/>
      <c r="E19" s="42"/>
      <c r="F19" s="14" t="s">
        <v>10</v>
      </c>
      <c r="G19" s="18">
        <v>635.46</v>
      </c>
      <c r="H19" s="17"/>
      <c r="I19" s="17"/>
    </row>
    <row r="20" spans="1:9">
      <c r="A20" s="42"/>
      <c r="B20" s="14" t="s">
        <v>11</v>
      </c>
      <c r="C20" s="15">
        <v>819.4</v>
      </c>
      <c r="D20" s="16"/>
      <c r="E20" s="42"/>
      <c r="F20" s="14" t="s">
        <v>11</v>
      </c>
      <c r="G20" s="18">
        <v>819.4</v>
      </c>
      <c r="H20" s="17"/>
      <c r="I20" s="17"/>
    </row>
    <row r="21" spans="1:9">
      <c r="A21" s="42"/>
      <c r="B21" s="14" t="s">
        <v>12</v>
      </c>
      <c r="C21" s="15">
        <v>1070.23</v>
      </c>
      <c r="D21" s="16"/>
      <c r="E21" s="42"/>
      <c r="F21" s="14" t="s">
        <v>12</v>
      </c>
      <c r="G21" s="18">
        <v>1086.95</v>
      </c>
      <c r="H21" s="17"/>
      <c r="I21" s="17"/>
    </row>
    <row r="22" spans="1:9">
      <c r="A22" s="42"/>
      <c r="B22" s="14" t="s">
        <v>13</v>
      </c>
      <c r="C22" s="15">
        <v>1337.79</v>
      </c>
      <c r="D22" s="16"/>
      <c r="E22" s="42"/>
      <c r="F22" s="14" t="s">
        <v>13</v>
      </c>
      <c r="G22" s="18">
        <v>1321.08</v>
      </c>
      <c r="H22" s="17"/>
      <c r="I22" s="17"/>
    </row>
    <row r="23" spans="1:9">
      <c r="A23" s="43"/>
      <c r="B23" s="14" t="s">
        <v>14</v>
      </c>
      <c r="C23" s="15">
        <v>1672.23</v>
      </c>
      <c r="D23" s="16"/>
      <c r="E23" s="43"/>
      <c r="F23" s="14" t="s">
        <v>14</v>
      </c>
      <c r="G23" s="18">
        <v>1839.46</v>
      </c>
      <c r="H23" s="17"/>
      <c r="I23" s="17"/>
    </row>
    <row r="24" spans="1:9">
      <c r="A24" s="11" t="s">
        <v>19</v>
      </c>
      <c r="B24" s="11" t="s">
        <v>1</v>
      </c>
      <c r="C24" s="12" t="s">
        <v>2</v>
      </c>
      <c r="D24" s="13"/>
      <c r="E24" s="11" t="s">
        <v>20</v>
      </c>
      <c r="F24" s="11" t="s">
        <v>1</v>
      </c>
      <c r="G24" s="19" t="s">
        <v>2</v>
      </c>
    </row>
    <row r="25" spans="1:9">
      <c r="A25" s="41" t="s">
        <v>21</v>
      </c>
      <c r="B25" s="14" t="s">
        <v>83</v>
      </c>
      <c r="C25" s="15">
        <v>90</v>
      </c>
      <c r="D25" s="16"/>
      <c r="E25" s="41" t="s">
        <v>22</v>
      </c>
      <c r="F25" s="14" t="s">
        <v>83</v>
      </c>
      <c r="G25" s="15">
        <v>90</v>
      </c>
      <c r="H25" s="17"/>
      <c r="I25" s="17"/>
    </row>
    <row r="26" spans="1:9">
      <c r="A26" s="42"/>
      <c r="B26" s="14" t="s">
        <v>84</v>
      </c>
      <c r="C26" s="15">
        <v>120</v>
      </c>
      <c r="D26" s="16"/>
      <c r="E26" s="42"/>
      <c r="F26" s="14" t="s">
        <v>84</v>
      </c>
      <c r="G26" s="15">
        <v>120</v>
      </c>
      <c r="H26" s="17"/>
      <c r="I26" s="17"/>
    </row>
    <row r="27" spans="1:9">
      <c r="A27" s="42"/>
      <c r="B27" s="14" t="s">
        <v>7</v>
      </c>
      <c r="C27" s="15">
        <v>170</v>
      </c>
      <c r="D27" s="16"/>
      <c r="E27" s="42"/>
      <c r="F27" s="14" t="s">
        <v>7</v>
      </c>
      <c r="G27" s="15">
        <v>170</v>
      </c>
      <c r="H27" s="17"/>
      <c r="I27" s="17"/>
    </row>
    <row r="28" spans="1:9">
      <c r="A28" s="42"/>
      <c r="B28" s="14" t="s">
        <v>8</v>
      </c>
      <c r="C28" s="15">
        <v>267.55</v>
      </c>
      <c r="D28" s="16"/>
      <c r="E28" s="42"/>
      <c r="F28" s="14" t="s">
        <v>8</v>
      </c>
      <c r="G28" s="18">
        <v>267.55</v>
      </c>
      <c r="H28" s="17"/>
      <c r="I28" s="17"/>
    </row>
    <row r="29" spans="1:9">
      <c r="A29" s="42"/>
      <c r="B29" s="14" t="s">
        <v>9</v>
      </c>
      <c r="C29" s="15">
        <v>384.63</v>
      </c>
      <c r="D29" s="16"/>
      <c r="E29" s="42"/>
      <c r="F29" s="14" t="s">
        <v>9</v>
      </c>
      <c r="G29" s="18">
        <v>418.07</v>
      </c>
      <c r="H29" s="17"/>
      <c r="I29" s="17"/>
    </row>
    <row r="30" spans="1:9">
      <c r="A30" s="42"/>
      <c r="B30" s="14" t="s">
        <v>10</v>
      </c>
      <c r="C30" s="15">
        <v>585.29</v>
      </c>
      <c r="D30" s="16"/>
      <c r="E30" s="42"/>
      <c r="F30" s="14" t="s">
        <v>10</v>
      </c>
      <c r="G30" s="18">
        <v>585.29</v>
      </c>
      <c r="H30" s="17"/>
      <c r="I30" s="17"/>
    </row>
    <row r="31" spans="1:9">
      <c r="A31" s="42"/>
      <c r="B31" s="14" t="s">
        <v>11</v>
      </c>
      <c r="C31" s="15">
        <v>819.4</v>
      </c>
      <c r="D31" s="16"/>
      <c r="E31" s="42"/>
      <c r="F31" s="14" t="s">
        <v>11</v>
      </c>
      <c r="G31" s="18">
        <v>836.12</v>
      </c>
      <c r="H31" s="17"/>
      <c r="I31" s="17"/>
    </row>
    <row r="32" spans="1:9">
      <c r="A32" s="42"/>
      <c r="B32" s="14" t="s">
        <v>12</v>
      </c>
      <c r="C32" s="15">
        <v>1086.95</v>
      </c>
      <c r="D32" s="16"/>
      <c r="E32" s="42"/>
      <c r="F32" s="14" t="s">
        <v>12</v>
      </c>
      <c r="G32" s="18">
        <v>1107.8</v>
      </c>
      <c r="H32" s="17"/>
      <c r="I32" s="17"/>
    </row>
    <row r="33" spans="1:9">
      <c r="A33" s="42"/>
      <c r="B33" s="14" t="s">
        <v>13</v>
      </c>
      <c r="C33" s="15">
        <v>1220.74</v>
      </c>
      <c r="D33" s="16"/>
      <c r="E33" s="42"/>
      <c r="F33" s="14" t="s">
        <v>13</v>
      </c>
      <c r="G33" s="18">
        <v>1237.46</v>
      </c>
      <c r="H33" s="17"/>
      <c r="I33" s="17"/>
    </row>
    <row r="34" spans="1:9">
      <c r="A34" s="43"/>
      <c r="B34" s="14" t="s">
        <v>14</v>
      </c>
      <c r="C34" s="15">
        <v>1655.52</v>
      </c>
      <c r="D34" s="16"/>
      <c r="E34" s="43"/>
      <c r="F34" s="14" t="s">
        <v>14</v>
      </c>
      <c r="G34" s="18">
        <v>1672.23</v>
      </c>
      <c r="H34" s="17"/>
      <c r="I34" s="17"/>
    </row>
    <row r="35" spans="1:9">
      <c r="A35" s="20"/>
      <c r="B35" s="21"/>
      <c r="C35" s="22"/>
      <c r="D35" s="22"/>
      <c r="E35" s="20"/>
      <c r="F35" s="21"/>
      <c r="G35" s="23"/>
    </row>
    <row r="36" spans="1:9">
      <c r="A36" s="20"/>
      <c r="B36" s="21"/>
      <c r="C36" s="22"/>
      <c r="D36" s="22"/>
      <c r="E36" s="20"/>
      <c r="F36" s="21"/>
      <c r="G36" s="23"/>
    </row>
    <row r="37" spans="1:9">
      <c r="A37" s="20"/>
      <c r="B37" s="21"/>
      <c r="C37" s="22"/>
      <c r="D37" s="22"/>
      <c r="E37" s="20"/>
      <c r="F37" s="21"/>
      <c r="G37" s="23"/>
    </row>
    <row r="38" spans="1:9">
      <c r="A38" s="20"/>
      <c r="B38" s="21"/>
      <c r="C38" s="22"/>
      <c r="D38" s="22"/>
      <c r="E38" s="20"/>
      <c r="F38" s="21"/>
      <c r="G38" s="23"/>
    </row>
    <row r="39" spans="1:9">
      <c r="A39" s="20"/>
      <c r="B39" s="21"/>
      <c r="C39" s="22"/>
      <c r="D39" s="22"/>
      <c r="E39" s="20"/>
      <c r="F39" s="21"/>
      <c r="G39" s="23"/>
    </row>
    <row r="40" spans="1:9">
      <c r="A40" s="20"/>
      <c r="B40" s="21"/>
      <c r="C40" s="22"/>
      <c r="D40" s="22"/>
      <c r="E40" s="20"/>
      <c r="F40" s="21"/>
      <c r="G40" s="23"/>
    </row>
    <row r="41" spans="1:9">
      <c r="A41" s="20"/>
      <c r="B41" s="21"/>
      <c r="C41" s="22"/>
      <c r="D41" s="22"/>
      <c r="E41" s="20"/>
      <c r="F41" s="21"/>
      <c r="G41" s="23"/>
    </row>
    <row r="42" spans="1:9">
      <c r="A42" s="11" t="s">
        <v>23</v>
      </c>
      <c r="B42" s="11" t="s">
        <v>1</v>
      </c>
      <c r="C42" s="12" t="s">
        <v>2</v>
      </c>
      <c r="D42" s="13"/>
      <c r="E42" s="11" t="s">
        <v>24</v>
      </c>
      <c r="F42" s="11" t="s">
        <v>1</v>
      </c>
      <c r="G42" s="19" t="s">
        <v>2</v>
      </c>
    </row>
    <row r="43" spans="1:9">
      <c r="A43" s="41" t="s">
        <v>25</v>
      </c>
      <c r="B43" s="14" t="s">
        <v>5</v>
      </c>
      <c r="C43" s="15">
        <v>930.11</v>
      </c>
      <c r="D43" s="24"/>
      <c r="E43" s="41" t="s">
        <v>26</v>
      </c>
      <c r="F43" s="14" t="s">
        <v>5</v>
      </c>
      <c r="G43" s="18">
        <v>930.11</v>
      </c>
      <c r="H43" s="17"/>
      <c r="I43" s="17"/>
    </row>
    <row r="44" spans="1:9">
      <c r="A44" s="42"/>
      <c r="B44" s="14" t="s">
        <v>7</v>
      </c>
      <c r="C44" s="15">
        <v>987.49</v>
      </c>
      <c r="D44" s="24"/>
      <c r="E44" s="42"/>
      <c r="F44" s="14" t="s">
        <v>7</v>
      </c>
      <c r="G44" s="18">
        <v>987.49</v>
      </c>
      <c r="H44" s="17"/>
      <c r="I44" s="17"/>
    </row>
    <row r="45" spans="1:9">
      <c r="A45" s="42"/>
      <c r="B45" s="14" t="s">
        <v>8</v>
      </c>
      <c r="C45" s="15">
        <v>1009.26</v>
      </c>
      <c r="D45" s="24"/>
      <c r="E45" s="42"/>
      <c r="F45" s="14" t="s">
        <v>8</v>
      </c>
      <c r="G45" s="18">
        <v>1009.26</v>
      </c>
      <c r="H45" s="17"/>
      <c r="I45" s="17"/>
    </row>
    <row r="46" spans="1:9">
      <c r="A46" s="42"/>
      <c r="B46" s="14" t="s">
        <v>9</v>
      </c>
      <c r="C46" s="15">
        <v>1208.1400000000001</v>
      </c>
      <c r="D46" s="24"/>
      <c r="E46" s="42"/>
      <c r="F46" s="14" t="s">
        <v>9</v>
      </c>
      <c r="G46" s="18">
        <v>1208.1400000000001</v>
      </c>
      <c r="H46" s="17"/>
      <c r="I46" s="17"/>
    </row>
    <row r="47" spans="1:9">
      <c r="A47" s="42"/>
      <c r="B47" s="14" t="s">
        <v>10</v>
      </c>
      <c r="C47" s="15">
        <v>1302.1400000000001</v>
      </c>
      <c r="D47" s="24"/>
      <c r="E47" s="42"/>
      <c r="F47" s="14" t="s">
        <v>10</v>
      </c>
      <c r="G47" s="18">
        <v>1302.1400000000001</v>
      </c>
      <c r="H47" s="17"/>
      <c r="I47" s="17"/>
    </row>
    <row r="48" spans="1:9">
      <c r="A48" s="42"/>
      <c r="B48" s="14" t="s">
        <v>11</v>
      </c>
      <c r="C48" s="15">
        <v>1602.94</v>
      </c>
      <c r="D48" s="24"/>
      <c r="E48" s="42"/>
      <c r="F48" s="14" t="s">
        <v>11</v>
      </c>
      <c r="G48" s="18">
        <v>1602.94</v>
      </c>
      <c r="H48" s="17"/>
      <c r="I48" s="17"/>
    </row>
    <row r="49" spans="1:9">
      <c r="A49" s="42"/>
      <c r="B49" s="14" t="s">
        <v>12</v>
      </c>
      <c r="C49" s="15">
        <v>1884.93</v>
      </c>
      <c r="D49" s="24"/>
      <c r="E49" s="42"/>
      <c r="F49" s="14" t="s">
        <v>12</v>
      </c>
      <c r="G49" s="18">
        <v>1884.93</v>
      </c>
      <c r="H49" s="17"/>
      <c r="I49" s="17"/>
    </row>
    <row r="50" spans="1:9">
      <c r="A50" s="42"/>
      <c r="B50" s="14" t="s">
        <v>13</v>
      </c>
      <c r="C50" s="15">
        <v>2354.94</v>
      </c>
      <c r="D50" s="24"/>
      <c r="E50" s="42"/>
      <c r="F50" s="14" t="s">
        <v>13</v>
      </c>
      <c r="G50" s="18">
        <v>2354.94</v>
      </c>
      <c r="H50" s="17"/>
      <c r="I50" s="17"/>
    </row>
    <row r="51" spans="1:9">
      <c r="A51" s="43"/>
      <c r="B51" s="14" t="s">
        <v>14</v>
      </c>
      <c r="C51" s="15">
        <v>2918.93</v>
      </c>
      <c r="D51" s="24"/>
      <c r="E51" s="43"/>
      <c r="F51" s="14" t="s">
        <v>14</v>
      </c>
      <c r="G51" s="18">
        <v>2918.93</v>
      </c>
      <c r="H51" s="17"/>
      <c r="I51" s="17"/>
    </row>
    <row r="52" spans="1:9">
      <c r="A52" s="11" t="s">
        <v>27</v>
      </c>
      <c r="B52" s="11" t="s">
        <v>1</v>
      </c>
      <c r="C52" s="12" t="s">
        <v>2</v>
      </c>
      <c r="D52" s="24"/>
      <c r="E52" s="11" t="s">
        <v>28</v>
      </c>
      <c r="F52" s="11" t="s">
        <v>1</v>
      </c>
      <c r="G52" s="19" t="s">
        <v>2</v>
      </c>
      <c r="H52" s="17"/>
      <c r="I52" s="17"/>
    </row>
    <row r="53" spans="1:9">
      <c r="A53" s="41" t="s">
        <v>29</v>
      </c>
      <c r="B53" s="14" t="s">
        <v>5</v>
      </c>
      <c r="C53" s="15">
        <v>632.86</v>
      </c>
      <c r="D53" s="24"/>
      <c r="E53" s="41" t="s">
        <v>30</v>
      </c>
      <c r="F53" s="14" t="s">
        <v>5</v>
      </c>
      <c r="G53" s="18">
        <v>632.86</v>
      </c>
      <c r="H53" s="17"/>
      <c r="I53" s="17"/>
    </row>
    <row r="54" spans="1:9">
      <c r="A54" s="42"/>
      <c r="B54" s="14" t="s">
        <v>7</v>
      </c>
      <c r="C54" s="15">
        <v>704.23</v>
      </c>
      <c r="D54" s="24"/>
      <c r="E54" s="42"/>
      <c r="F54" s="14" t="s">
        <v>7</v>
      </c>
      <c r="G54" s="18">
        <v>704.23</v>
      </c>
      <c r="H54" s="17"/>
      <c r="I54" s="17"/>
    </row>
    <row r="55" spans="1:9">
      <c r="A55" s="42"/>
      <c r="B55" s="14" t="s">
        <v>8</v>
      </c>
      <c r="C55" s="15">
        <v>780.36</v>
      </c>
      <c r="D55" s="24"/>
      <c r="E55" s="42"/>
      <c r="F55" s="14" t="s">
        <v>8</v>
      </c>
      <c r="G55" s="18">
        <v>761.33</v>
      </c>
      <c r="H55" s="17"/>
      <c r="I55" s="17"/>
    </row>
    <row r="56" spans="1:9">
      <c r="A56" s="42"/>
      <c r="B56" s="14" t="s">
        <v>9</v>
      </c>
      <c r="C56" s="15">
        <v>886.01</v>
      </c>
      <c r="D56" s="24"/>
      <c r="E56" s="42"/>
      <c r="F56" s="14" t="s">
        <v>9</v>
      </c>
      <c r="G56" s="18">
        <v>886.01</v>
      </c>
      <c r="H56" s="17"/>
      <c r="I56" s="17"/>
    </row>
    <row r="57" spans="1:9">
      <c r="A57" s="42"/>
      <c r="B57" s="14" t="s">
        <v>10</v>
      </c>
      <c r="C57" s="15">
        <v>1247.6400000000001</v>
      </c>
      <c r="D57" s="24"/>
      <c r="E57" s="42"/>
      <c r="F57" s="14" t="s">
        <v>10</v>
      </c>
      <c r="G57" s="18">
        <v>1066.82</v>
      </c>
      <c r="H57" s="17"/>
      <c r="I57" s="17"/>
    </row>
    <row r="58" spans="1:9">
      <c r="A58" s="42"/>
      <c r="B58" s="14" t="s">
        <v>11</v>
      </c>
      <c r="C58" s="15">
        <v>1446.53</v>
      </c>
      <c r="D58" s="24"/>
      <c r="E58" s="42"/>
      <c r="F58" s="14" t="s">
        <v>11</v>
      </c>
      <c r="G58" s="18">
        <v>1410.37</v>
      </c>
      <c r="H58" s="17"/>
      <c r="I58" s="17"/>
    </row>
    <row r="59" spans="1:9">
      <c r="A59" s="42"/>
      <c r="B59" s="14" t="s">
        <v>12</v>
      </c>
      <c r="C59" s="15">
        <v>1735.84</v>
      </c>
      <c r="D59" s="24"/>
      <c r="E59" s="42"/>
      <c r="F59" s="14" t="s">
        <v>12</v>
      </c>
      <c r="G59" s="18">
        <v>1772</v>
      </c>
      <c r="H59" s="17"/>
      <c r="I59" s="17"/>
    </row>
    <row r="60" spans="1:9">
      <c r="A60" s="42"/>
      <c r="B60" s="14" t="s">
        <v>13</v>
      </c>
      <c r="C60" s="15">
        <v>1988.99</v>
      </c>
      <c r="D60" s="24"/>
      <c r="E60" s="42"/>
      <c r="F60" s="14" t="s">
        <v>13</v>
      </c>
      <c r="G60" s="18">
        <v>2169.79</v>
      </c>
      <c r="H60" s="17"/>
      <c r="I60" s="17"/>
    </row>
    <row r="61" spans="1:9">
      <c r="A61" s="43"/>
      <c r="B61" s="14" t="s">
        <v>14</v>
      </c>
      <c r="C61" s="15">
        <v>2706.76</v>
      </c>
      <c r="D61" s="24"/>
      <c r="E61" s="43"/>
      <c r="F61" s="14" t="s">
        <v>14</v>
      </c>
      <c r="G61" s="18">
        <v>2712.25</v>
      </c>
      <c r="H61" s="17"/>
      <c r="I61" s="17"/>
    </row>
    <row r="62" spans="1:9">
      <c r="A62" s="11" t="s">
        <v>31</v>
      </c>
      <c r="B62" s="11" t="s">
        <v>1</v>
      </c>
      <c r="C62" s="12" t="s">
        <v>2</v>
      </c>
      <c r="D62" s="24"/>
      <c r="E62" s="11" t="s">
        <v>32</v>
      </c>
      <c r="F62" s="11" t="s">
        <v>1</v>
      </c>
      <c r="G62" s="19" t="s">
        <v>2</v>
      </c>
      <c r="H62" s="17"/>
      <c r="I62" s="17"/>
    </row>
    <row r="63" spans="1:9">
      <c r="A63" s="41" t="s">
        <v>33</v>
      </c>
      <c r="B63" s="14" t="s">
        <v>5</v>
      </c>
      <c r="C63" s="15">
        <v>250.47</v>
      </c>
      <c r="D63" s="24"/>
      <c r="E63" s="41" t="s">
        <v>34</v>
      </c>
      <c r="F63" s="14" t="s">
        <v>5</v>
      </c>
      <c r="G63" s="18">
        <v>264.39</v>
      </c>
      <c r="H63" s="17"/>
      <c r="I63" s="17"/>
    </row>
    <row r="64" spans="1:9">
      <c r="A64" s="42"/>
      <c r="B64" s="14" t="s">
        <v>7</v>
      </c>
      <c r="C64" s="15">
        <v>306.13</v>
      </c>
      <c r="D64" s="24"/>
      <c r="E64" s="42"/>
      <c r="F64" s="14" t="s">
        <v>7</v>
      </c>
      <c r="G64" s="18">
        <v>333.96</v>
      </c>
      <c r="H64" s="17"/>
      <c r="I64" s="17"/>
    </row>
    <row r="65" spans="1:9">
      <c r="A65" s="42"/>
      <c r="B65" s="14" t="s">
        <v>8</v>
      </c>
      <c r="C65" s="15">
        <v>375.71</v>
      </c>
      <c r="D65" s="24"/>
      <c r="E65" s="42"/>
      <c r="F65" s="14" t="s">
        <v>8</v>
      </c>
      <c r="G65" s="18">
        <v>389.62</v>
      </c>
      <c r="H65" s="17"/>
      <c r="I65" s="17"/>
    </row>
    <row r="66" spans="1:9">
      <c r="A66" s="42"/>
      <c r="B66" s="14" t="s">
        <v>9</v>
      </c>
      <c r="C66" s="15">
        <v>425.67</v>
      </c>
      <c r="D66" s="24"/>
      <c r="E66" s="42"/>
      <c r="F66" s="14" t="s">
        <v>9</v>
      </c>
      <c r="G66" s="18">
        <v>456.06</v>
      </c>
      <c r="H66" s="17"/>
      <c r="I66" s="17"/>
    </row>
    <row r="67" spans="1:9">
      <c r="A67" s="42"/>
      <c r="B67" s="14" t="s">
        <v>10</v>
      </c>
      <c r="C67" s="15">
        <v>577.67999999999995</v>
      </c>
      <c r="D67" s="24"/>
      <c r="E67" s="42"/>
      <c r="F67" s="14" t="s">
        <v>10</v>
      </c>
      <c r="G67" s="18">
        <v>608.09</v>
      </c>
      <c r="H67" s="17"/>
      <c r="I67" s="17"/>
    </row>
    <row r="68" spans="1:9">
      <c r="A68" s="42"/>
      <c r="B68" s="14" t="s">
        <v>11</v>
      </c>
      <c r="C68" s="15">
        <v>836.12</v>
      </c>
      <c r="D68" s="24"/>
      <c r="E68" s="42"/>
      <c r="F68" s="14" t="s">
        <v>11</v>
      </c>
      <c r="G68" s="18">
        <v>760.11</v>
      </c>
      <c r="H68" s="17"/>
      <c r="I68" s="17"/>
    </row>
    <row r="69" spans="1:9">
      <c r="A69" s="42"/>
      <c r="B69" s="14" t="s">
        <v>12</v>
      </c>
      <c r="C69" s="15">
        <v>1048.95</v>
      </c>
      <c r="D69" s="24"/>
      <c r="E69" s="42"/>
      <c r="F69" s="14" t="s">
        <v>12</v>
      </c>
      <c r="G69" s="18">
        <v>988.15</v>
      </c>
      <c r="H69" s="17"/>
      <c r="I69" s="17"/>
    </row>
    <row r="70" spans="1:9">
      <c r="A70" s="42"/>
      <c r="B70" s="14" t="s">
        <v>13</v>
      </c>
      <c r="C70" s="15">
        <v>1216.17</v>
      </c>
      <c r="D70" s="24"/>
      <c r="E70" s="42"/>
      <c r="F70" s="14" t="s">
        <v>13</v>
      </c>
      <c r="G70" s="18">
        <v>1216.17</v>
      </c>
      <c r="H70" s="17"/>
      <c r="I70" s="17"/>
    </row>
    <row r="71" spans="1:9">
      <c r="A71" s="43"/>
      <c r="B71" s="14" t="s">
        <v>14</v>
      </c>
      <c r="C71" s="15">
        <v>1520.22</v>
      </c>
      <c r="D71" s="24"/>
      <c r="E71" s="43"/>
      <c r="F71" s="14" t="s">
        <v>14</v>
      </c>
      <c r="G71" s="18">
        <v>1976.28</v>
      </c>
      <c r="H71" s="17"/>
      <c r="I71" s="17"/>
    </row>
    <row r="72" spans="1:9">
      <c r="A72" s="11" t="s">
        <v>35</v>
      </c>
      <c r="B72" s="11" t="s">
        <v>1</v>
      </c>
      <c r="C72" s="12" t="s">
        <v>2</v>
      </c>
      <c r="D72" s="24"/>
      <c r="E72" s="11" t="s">
        <v>36</v>
      </c>
      <c r="F72" s="11" t="s">
        <v>1</v>
      </c>
      <c r="G72" s="19" t="s">
        <v>2</v>
      </c>
      <c r="H72" s="17"/>
      <c r="I72" s="17"/>
    </row>
    <row r="73" spans="1:9">
      <c r="A73" s="41" t="s">
        <v>37</v>
      </c>
      <c r="B73" s="14" t="s">
        <v>5</v>
      </c>
      <c r="C73" s="15">
        <v>756.61</v>
      </c>
      <c r="D73" s="24"/>
      <c r="E73" s="41" t="s">
        <v>38</v>
      </c>
      <c r="F73" s="14" t="s">
        <v>5</v>
      </c>
      <c r="G73" s="18">
        <v>806.1</v>
      </c>
      <c r="H73" s="17"/>
      <c r="I73" s="17"/>
    </row>
    <row r="74" spans="1:9">
      <c r="A74" s="42"/>
      <c r="B74" s="14" t="s">
        <v>7</v>
      </c>
      <c r="C74" s="15">
        <v>799.4</v>
      </c>
      <c r="D74" s="24"/>
      <c r="E74" s="42"/>
      <c r="F74" s="14" t="s">
        <v>7</v>
      </c>
      <c r="G74" s="18">
        <v>828.95</v>
      </c>
      <c r="H74" s="17"/>
      <c r="I74" s="17"/>
    </row>
    <row r="75" spans="1:9">
      <c r="A75" s="42"/>
      <c r="B75" s="14" t="s">
        <v>8</v>
      </c>
      <c r="C75" s="15">
        <v>837.46</v>
      </c>
      <c r="D75" s="24"/>
      <c r="E75" s="42"/>
      <c r="F75" s="14" t="s">
        <v>8</v>
      </c>
      <c r="G75" s="18">
        <v>844.92</v>
      </c>
      <c r="H75" s="17"/>
      <c r="I75" s="17"/>
    </row>
    <row r="76" spans="1:9">
      <c r="A76" s="42"/>
      <c r="B76" s="14" t="s">
        <v>9</v>
      </c>
      <c r="C76" s="15">
        <v>890.76</v>
      </c>
      <c r="D76" s="24"/>
      <c r="E76" s="42"/>
      <c r="F76" s="14" t="s">
        <v>9</v>
      </c>
      <c r="G76" s="18">
        <v>904.59</v>
      </c>
      <c r="H76" s="17"/>
      <c r="I76" s="17"/>
    </row>
    <row r="77" spans="1:9">
      <c r="A77" s="42"/>
      <c r="B77" s="14" t="s">
        <v>10</v>
      </c>
      <c r="C77" s="15">
        <v>1107.74</v>
      </c>
      <c r="D77" s="24"/>
      <c r="E77" s="42"/>
      <c r="F77" s="14" t="s">
        <v>10</v>
      </c>
      <c r="G77" s="18">
        <v>1127.6199999999999</v>
      </c>
      <c r="H77" s="17"/>
      <c r="I77" s="17"/>
    </row>
    <row r="78" spans="1:9">
      <c r="A78" s="42"/>
      <c r="B78" s="14" t="s">
        <v>11</v>
      </c>
      <c r="C78" s="15">
        <v>1523.62</v>
      </c>
      <c r="D78" s="24"/>
      <c r="E78" s="42"/>
      <c r="F78" s="14" t="s">
        <v>11</v>
      </c>
      <c r="G78" s="18">
        <v>1534.27</v>
      </c>
      <c r="H78" s="17"/>
      <c r="I78" s="17"/>
    </row>
    <row r="79" spans="1:9">
      <c r="A79" s="42"/>
      <c r="B79" s="14" t="s">
        <v>12</v>
      </c>
      <c r="C79" s="15">
        <v>1704.44</v>
      </c>
      <c r="D79" s="24"/>
      <c r="E79" s="42"/>
      <c r="F79" s="14" t="s">
        <v>12</v>
      </c>
      <c r="G79" s="18">
        <v>1716.35</v>
      </c>
      <c r="H79" s="17"/>
      <c r="I79" s="17"/>
    </row>
    <row r="80" spans="1:9">
      <c r="A80" s="42"/>
      <c r="B80" s="14" t="s">
        <v>13</v>
      </c>
      <c r="C80" s="15">
        <v>1903.33</v>
      </c>
      <c r="D80" s="24"/>
      <c r="E80" s="42"/>
      <c r="F80" s="14" t="s">
        <v>13</v>
      </c>
      <c r="G80" s="18">
        <v>1916.64</v>
      </c>
      <c r="H80" s="17"/>
      <c r="I80" s="17"/>
    </row>
    <row r="81" spans="1:10">
      <c r="A81" s="43"/>
      <c r="B81" s="14" t="s">
        <v>14</v>
      </c>
      <c r="C81" s="15">
        <v>2445.7800000000002</v>
      </c>
      <c r="D81" s="24"/>
      <c r="E81" s="43"/>
      <c r="F81" s="14" t="s">
        <v>14</v>
      </c>
      <c r="G81" s="18">
        <v>2462.88</v>
      </c>
      <c r="H81" s="17"/>
      <c r="I81" s="17"/>
    </row>
    <row r="82" spans="1:10">
      <c r="A82" s="25"/>
      <c r="B82" s="21"/>
      <c r="C82" s="22"/>
      <c r="D82" s="24"/>
      <c r="E82" s="25"/>
      <c r="F82" s="21"/>
      <c r="G82" s="23"/>
      <c r="H82" s="17"/>
      <c r="I82" s="17"/>
    </row>
    <row r="83" spans="1:10">
      <c r="A83" s="25"/>
      <c r="B83" s="21"/>
      <c r="C83" s="22"/>
      <c r="D83" s="24"/>
      <c r="E83" s="25"/>
      <c r="F83" s="21"/>
      <c r="G83" s="23"/>
      <c r="H83" s="17"/>
      <c r="I83" s="17"/>
    </row>
    <row r="84" spans="1:10">
      <c r="A84" s="25"/>
      <c r="B84" s="21"/>
      <c r="C84" s="22"/>
      <c r="D84" s="24"/>
      <c r="E84" s="25"/>
      <c r="F84" s="21"/>
      <c r="G84" s="23"/>
      <c r="H84" s="17"/>
      <c r="I84" s="17"/>
    </row>
    <row r="85" spans="1:10">
      <c r="A85" s="11" t="s">
        <v>39</v>
      </c>
      <c r="B85" s="11" t="s">
        <v>1</v>
      </c>
      <c r="C85" s="12" t="s">
        <v>2</v>
      </c>
      <c r="D85" s="24"/>
      <c r="E85" s="11" t="s">
        <v>40</v>
      </c>
      <c r="F85" s="11" t="s">
        <v>1</v>
      </c>
      <c r="G85" s="19" t="s">
        <v>2</v>
      </c>
      <c r="H85" s="17"/>
      <c r="I85" s="17"/>
    </row>
    <row r="86" spans="1:10">
      <c r="A86" s="41" t="s">
        <v>41</v>
      </c>
      <c r="B86" s="14" t="s">
        <v>5</v>
      </c>
      <c r="C86" s="15">
        <v>658.63</v>
      </c>
      <c r="D86" s="24"/>
      <c r="E86" s="41" t="s">
        <v>42</v>
      </c>
      <c r="F86" s="14" t="s">
        <v>5</v>
      </c>
      <c r="G86" s="18">
        <v>696.89</v>
      </c>
      <c r="H86" s="17"/>
      <c r="I86" s="17"/>
      <c r="J86" s="17"/>
    </row>
    <row r="87" spans="1:10">
      <c r="A87" s="42"/>
      <c r="B87" s="14" t="s">
        <v>7</v>
      </c>
      <c r="C87" s="15">
        <v>678.23</v>
      </c>
      <c r="D87" s="24"/>
      <c r="E87" s="42"/>
      <c r="F87" s="14" t="s">
        <v>7</v>
      </c>
      <c r="G87" s="18">
        <v>758.99</v>
      </c>
      <c r="H87" s="17"/>
      <c r="I87" s="17"/>
      <c r="J87" s="17"/>
    </row>
    <row r="88" spans="1:10">
      <c r="A88" s="42"/>
      <c r="B88" s="14" t="s">
        <v>8</v>
      </c>
      <c r="C88" s="15">
        <v>705.67</v>
      </c>
      <c r="D88" s="24"/>
      <c r="E88" s="42"/>
      <c r="F88" s="14" t="s">
        <v>8</v>
      </c>
      <c r="G88" s="18">
        <v>834.89</v>
      </c>
      <c r="H88" s="17"/>
      <c r="I88" s="17"/>
      <c r="J88" s="17"/>
    </row>
    <row r="89" spans="1:10">
      <c r="A89" s="42"/>
      <c r="B89" s="14" t="s">
        <v>9</v>
      </c>
      <c r="C89" s="15">
        <v>839.49</v>
      </c>
      <c r="D89" s="24"/>
      <c r="E89" s="42"/>
      <c r="F89" s="14" t="s">
        <v>9</v>
      </c>
      <c r="G89" s="18">
        <v>942.1</v>
      </c>
      <c r="H89" s="17"/>
      <c r="I89" s="17"/>
      <c r="J89" s="17"/>
    </row>
    <row r="90" spans="1:10">
      <c r="A90" s="42"/>
      <c r="B90" s="14" t="s">
        <v>10</v>
      </c>
      <c r="C90" s="15">
        <v>1182.1300000000001</v>
      </c>
      <c r="D90" s="24"/>
      <c r="E90" s="42"/>
      <c r="F90" s="14" t="s">
        <v>10</v>
      </c>
      <c r="G90" s="18">
        <v>1140.3800000000001</v>
      </c>
      <c r="H90" s="17"/>
      <c r="I90" s="17"/>
      <c r="J90" s="17"/>
    </row>
    <row r="91" spans="1:10">
      <c r="A91" s="42"/>
      <c r="B91" s="14" t="s">
        <v>11</v>
      </c>
      <c r="C91" s="15">
        <v>1370.57</v>
      </c>
      <c r="D91" s="24"/>
      <c r="E91" s="42"/>
      <c r="F91" s="14" t="s">
        <v>11</v>
      </c>
      <c r="G91" s="18">
        <v>1446.84</v>
      </c>
      <c r="H91" s="17"/>
      <c r="I91" s="17"/>
      <c r="J91" s="17"/>
    </row>
    <row r="92" spans="1:10">
      <c r="A92" s="42"/>
      <c r="B92" s="14" t="s">
        <v>12</v>
      </c>
      <c r="C92" s="15">
        <v>1678.95</v>
      </c>
      <c r="D92" s="24"/>
      <c r="E92" s="42"/>
      <c r="F92" s="14" t="s">
        <v>12</v>
      </c>
      <c r="G92" s="18">
        <v>1663.15</v>
      </c>
      <c r="H92" s="17"/>
      <c r="I92" s="17"/>
      <c r="J92" s="17"/>
    </row>
    <row r="93" spans="1:10">
      <c r="A93" s="42"/>
      <c r="B93" s="14" t="s">
        <v>13</v>
      </c>
      <c r="C93" s="15">
        <v>1884.53</v>
      </c>
      <c r="D93" s="24"/>
      <c r="E93" s="42"/>
      <c r="F93" s="14" t="s">
        <v>13</v>
      </c>
      <c r="G93" s="18">
        <v>1825.36</v>
      </c>
      <c r="H93" s="17"/>
      <c r="I93" s="17"/>
      <c r="J93" s="17"/>
    </row>
    <row r="94" spans="1:10">
      <c r="A94" s="43"/>
      <c r="B94" s="14" t="s">
        <v>14</v>
      </c>
      <c r="C94" s="15">
        <v>2484.17</v>
      </c>
      <c r="D94" s="24"/>
      <c r="E94" s="43"/>
      <c r="F94" s="14" t="s">
        <v>14</v>
      </c>
      <c r="G94" s="18">
        <v>2546.41</v>
      </c>
      <c r="H94" s="17"/>
      <c r="I94" s="17"/>
      <c r="J94" s="17"/>
    </row>
    <row r="95" spans="1:10">
      <c r="A95" s="25"/>
      <c r="B95" s="21"/>
      <c r="C95" s="22"/>
      <c r="D95" s="24"/>
      <c r="E95" s="25"/>
      <c r="F95" s="21"/>
      <c r="G95" s="26"/>
      <c r="H95" s="17"/>
      <c r="I95" s="17"/>
    </row>
    <row r="96" spans="1:10">
      <c r="A96" s="11" t="s">
        <v>43</v>
      </c>
      <c r="B96" s="11" t="s">
        <v>1</v>
      </c>
      <c r="C96" s="12" t="s">
        <v>2</v>
      </c>
      <c r="D96" s="24"/>
      <c r="E96" s="11" t="s">
        <v>44</v>
      </c>
      <c r="F96" s="11" t="s">
        <v>1</v>
      </c>
      <c r="G96" s="19" t="s">
        <v>2</v>
      </c>
      <c r="H96" s="17"/>
      <c r="I96" s="17"/>
    </row>
    <row r="97" spans="1:10">
      <c r="A97" s="41" t="s">
        <v>45</v>
      </c>
      <c r="B97" s="14" t="s">
        <v>5</v>
      </c>
      <c r="C97" s="15">
        <v>720.34</v>
      </c>
      <c r="D97" s="24"/>
      <c r="E97" s="41" t="s">
        <v>46</v>
      </c>
      <c r="F97" s="14" t="s">
        <v>5</v>
      </c>
      <c r="G97" s="18">
        <v>755.48</v>
      </c>
      <c r="H97" s="17"/>
      <c r="I97" s="17"/>
      <c r="J97" s="17"/>
    </row>
    <row r="98" spans="1:10">
      <c r="A98" s="42"/>
      <c r="B98" s="14" t="s">
        <v>7</v>
      </c>
      <c r="C98" s="15">
        <v>763.33</v>
      </c>
      <c r="D98" s="24"/>
      <c r="E98" s="42"/>
      <c r="F98" s="14" t="s">
        <v>7</v>
      </c>
      <c r="G98" s="18">
        <v>776.56</v>
      </c>
      <c r="H98" s="17"/>
      <c r="I98" s="17"/>
      <c r="J98" s="17"/>
    </row>
    <row r="99" spans="1:10">
      <c r="A99" s="42"/>
      <c r="B99" s="14" t="s">
        <v>8</v>
      </c>
      <c r="C99" s="15">
        <v>790.61</v>
      </c>
      <c r="D99" s="24"/>
      <c r="E99" s="42"/>
      <c r="F99" s="14" t="s">
        <v>8</v>
      </c>
      <c r="G99" s="18">
        <v>790.61</v>
      </c>
      <c r="H99" s="17"/>
      <c r="I99" s="17"/>
      <c r="J99" s="17"/>
    </row>
    <row r="100" spans="1:10">
      <c r="A100" s="42"/>
      <c r="B100" s="14" t="s">
        <v>9</v>
      </c>
      <c r="C100" s="15">
        <v>705.7</v>
      </c>
      <c r="D100" s="24"/>
      <c r="E100" s="42"/>
      <c r="F100" s="14" t="s">
        <v>9</v>
      </c>
      <c r="G100" s="18">
        <v>922.38</v>
      </c>
      <c r="H100" s="17"/>
      <c r="I100" s="17"/>
      <c r="J100" s="17"/>
    </row>
    <row r="101" spans="1:10">
      <c r="A101" s="42"/>
      <c r="B101" s="14" t="s">
        <v>10</v>
      </c>
      <c r="C101" s="15">
        <v>1122.67</v>
      </c>
      <c r="D101" s="24"/>
      <c r="E101" s="42"/>
      <c r="F101" s="14" t="s">
        <v>10</v>
      </c>
      <c r="G101" s="18">
        <v>1039.23</v>
      </c>
      <c r="H101" s="17"/>
      <c r="I101" s="17"/>
      <c r="J101" s="17"/>
    </row>
    <row r="102" spans="1:10">
      <c r="A102" s="42"/>
      <c r="B102" s="14" t="s">
        <v>11</v>
      </c>
      <c r="C102" s="15">
        <v>1339.67</v>
      </c>
      <c r="D102" s="24"/>
      <c r="E102" s="42"/>
      <c r="F102" s="14" t="s">
        <v>11</v>
      </c>
      <c r="G102" s="18">
        <v>1423.1</v>
      </c>
      <c r="H102" s="17"/>
      <c r="I102" s="17"/>
      <c r="J102" s="17"/>
    </row>
    <row r="103" spans="1:10">
      <c r="A103" s="42"/>
      <c r="B103" s="14" t="s">
        <v>12</v>
      </c>
      <c r="C103" s="15">
        <v>1556.63</v>
      </c>
      <c r="D103" s="24"/>
      <c r="E103" s="42"/>
      <c r="F103" s="14" t="s">
        <v>12</v>
      </c>
      <c r="G103" s="18">
        <v>1690.15</v>
      </c>
      <c r="H103" s="17"/>
      <c r="I103" s="17"/>
      <c r="J103" s="17"/>
    </row>
    <row r="104" spans="1:10">
      <c r="A104" s="42"/>
      <c r="B104" s="14" t="s">
        <v>13</v>
      </c>
      <c r="C104" s="15">
        <v>1712.54</v>
      </c>
      <c r="D104" s="24"/>
      <c r="E104" s="42"/>
      <c r="F104" s="14" t="s">
        <v>13</v>
      </c>
      <c r="G104" s="18">
        <v>1923.82</v>
      </c>
      <c r="H104" s="17"/>
      <c r="I104" s="17"/>
      <c r="J104" s="17"/>
    </row>
    <row r="105" spans="1:10">
      <c r="A105" s="43"/>
      <c r="B105" s="14" t="s">
        <v>14</v>
      </c>
      <c r="C105" s="15">
        <v>2224.2600000000002</v>
      </c>
      <c r="D105" s="24"/>
      <c r="E105" s="43"/>
      <c r="F105" s="14" t="s">
        <v>14</v>
      </c>
      <c r="G105" s="18">
        <v>2574.77</v>
      </c>
      <c r="H105" s="17"/>
      <c r="I105" s="17"/>
      <c r="J105" s="17"/>
    </row>
    <row r="106" spans="1:10" ht="14.4" thickBot="1">
      <c r="A106" s="25"/>
      <c r="B106" s="21"/>
      <c r="C106" s="22"/>
      <c r="D106" s="22"/>
      <c r="E106" s="25"/>
      <c r="F106" s="21"/>
      <c r="G106" s="27"/>
    </row>
    <row r="107" spans="1:10">
      <c r="A107" s="28" t="s">
        <v>47</v>
      </c>
      <c r="B107" s="29"/>
      <c r="C107" s="30"/>
      <c r="D107" s="30"/>
      <c r="E107" s="29"/>
      <c r="F107" s="29"/>
      <c r="G107" s="31"/>
    </row>
    <row r="108" spans="1:10">
      <c r="A108" s="32" t="s">
        <v>50</v>
      </c>
      <c r="B108" s="33"/>
      <c r="C108" s="34"/>
      <c r="D108" s="34"/>
      <c r="E108" s="33"/>
      <c r="F108" s="33"/>
      <c r="G108" s="35"/>
    </row>
    <row r="109" spans="1:10">
      <c r="A109" s="32" t="s">
        <v>48</v>
      </c>
      <c r="B109" s="33"/>
      <c r="C109" s="34"/>
      <c r="D109" s="34"/>
      <c r="E109" s="33"/>
      <c r="F109" s="33"/>
      <c r="G109" s="35"/>
    </row>
    <row r="110" spans="1:10" ht="14.4" thickBot="1">
      <c r="A110" s="36"/>
      <c r="B110" s="37"/>
      <c r="C110" s="38"/>
      <c r="D110" s="38"/>
      <c r="E110" s="39"/>
      <c r="F110" s="37"/>
      <c r="G110" s="40"/>
    </row>
    <row r="111" spans="1:10">
      <c r="A111" s="25"/>
      <c r="B111" s="21"/>
      <c r="C111" s="22"/>
      <c r="D111" s="22"/>
      <c r="E111" s="25"/>
      <c r="F111" s="21"/>
      <c r="G111" s="27"/>
    </row>
    <row r="112" spans="1:10">
      <c r="A112" s="25"/>
      <c r="B112" s="21"/>
      <c r="C112" s="22"/>
      <c r="D112" s="22"/>
    </row>
    <row r="113" spans="1:7">
      <c r="A113" s="25"/>
      <c r="B113" s="21"/>
      <c r="C113" s="22"/>
      <c r="D113" s="22"/>
    </row>
    <row r="114" spans="1:7">
      <c r="A114" s="25"/>
      <c r="B114" s="21"/>
      <c r="C114" s="22"/>
      <c r="D114" s="22"/>
    </row>
    <row r="115" spans="1:7">
      <c r="A115" s="25"/>
      <c r="B115" s="21"/>
      <c r="C115" s="22"/>
      <c r="D115" s="22"/>
      <c r="E115" s="25"/>
      <c r="F115" s="21"/>
      <c r="G115" s="27"/>
    </row>
    <row r="116" spans="1:7">
      <c r="A116" s="25"/>
      <c r="B116" s="21"/>
      <c r="C116" s="22"/>
      <c r="D116" s="22"/>
    </row>
    <row r="117" spans="1:7">
      <c r="A117" s="25"/>
      <c r="B117" s="21"/>
      <c r="C117" s="22"/>
      <c r="D117" s="22"/>
    </row>
    <row r="118" spans="1:7">
      <c r="A118" s="25"/>
      <c r="B118" s="21"/>
      <c r="C118" s="22"/>
      <c r="D118" s="22"/>
    </row>
    <row r="119" spans="1:7">
      <c r="A119" s="25"/>
      <c r="B119" s="21"/>
      <c r="C119" s="22"/>
      <c r="D119" s="22"/>
      <c r="E119" s="25"/>
      <c r="F119" s="21"/>
      <c r="G119" s="27"/>
    </row>
  </sheetData>
  <mergeCells count="19">
    <mergeCell ref="A1:G1"/>
    <mergeCell ref="A73:A81"/>
    <mergeCell ref="E73:E81"/>
    <mergeCell ref="A86:A94"/>
    <mergeCell ref="E86:E94"/>
    <mergeCell ref="A3:A12"/>
    <mergeCell ref="E3:E12"/>
    <mergeCell ref="A14:A23"/>
    <mergeCell ref="E14:E23"/>
    <mergeCell ref="A25:A34"/>
    <mergeCell ref="E25:E34"/>
    <mergeCell ref="A97:A105"/>
    <mergeCell ref="E97:E105"/>
    <mergeCell ref="A43:A51"/>
    <mergeCell ref="E43:E51"/>
    <mergeCell ref="A53:A61"/>
    <mergeCell ref="E53:E61"/>
    <mergeCell ref="A63:A71"/>
    <mergeCell ref="E63:E71"/>
  </mergeCells>
  <pageMargins left="0" right="0" top="0" bottom="0" header="0.31496062992125984" footer="0.31496062992125984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A20" sqref="A20"/>
    </sheetView>
  </sheetViews>
  <sheetFormatPr defaultRowHeight="14.4"/>
  <cols>
    <col min="1" max="1" width="13" customWidth="1"/>
    <col min="2" max="2" width="9.88671875" bestFit="1" customWidth="1"/>
    <col min="3" max="3" width="17" bestFit="1" customWidth="1"/>
    <col min="4" max="5" width="8.5546875" bestFit="1" customWidth="1"/>
    <col min="6" max="6" width="23" bestFit="1" customWidth="1"/>
    <col min="7" max="7" width="8.5546875" bestFit="1" customWidth="1"/>
    <col min="8" max="8" width="9.77734375" bestFit="1" customWidth="1"/>
    <col min="9" max="9" width="19.6640625" bestFit="1" customWidth="1"/>
  </cols>
  <sheetData>
    <row r="1" spans="1:9">
      <c r="A1" s="45" t="s">
        <v>51</v>
      </c>
      <c r="B1" s="45"/>
      <c r="C1" s="45"/>
      <c r="D1" s="45"/>
      <c r="E1" s="45"/>
      <c r="F1" s="45"/>
      <c r="G1" s="45"/>
      <c r="H1" s="45"/>
      <c r="I1" s="45"/>
    </row>
    <row r="2" spans="1:9">
      <c r="A2" s="1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</row>
    <row r="3" spans="1:9">
      <c r="A3" s="1" t="s">
        <v>61</v>
      </c>
      <c r="B3" s="2">
        <v>120</v>
      </c>
      <c r="C3" s="2">
        <v>150</v>
      </c>
      <c r="D3" s="2">
        <v>120</v>
      </c>
      <c r="E3" s="2">
        <v>120</v>
      </c>
      <c r="F3" s="2">
        <v>120</v>
      </c>
      <c r="G3" s="2">
        <v>220</v>
      </c>
      <c r="H3" s="2">
        <v>220</v>
      </c>
      <c r="I3" s="2">
        <v>120</v>
      </c>
    </row>
    <row r="4" spans="1:9">
      <c r="A4" s="1" t="s">
        <v>62</v>
      </c>
      <c r="B4" s="2">
        <f t="shared" ref="B4:I4" si="0">B3+50</f>
        <v>170</v>
      </c>
      <c r="C4" s="2">
        <f t="shared" si="0"/>
        <v>200</v>
      </c>
      <c r="D4" s="2">
        <f t="shared" si="0"/>
        <v>170</v>
      </c>
      <c r="E4" s="2">
        <f t="shared" si="0"/>
        <v>170</v>
      </c>
      <c r="F4" s="2">
        <f t="shared" si="0"/>
        <v>170</v>
      </c>
      <c r="G4" s="2">
        <f t="shared" si="0"/>
        <v>270</v>
      </c>
      <c r="H4" s="2">
        <f t="shared" si="0"/>
        <v>270</v>
      </c>
      <c r="I4" s="2">
        <f t="shared" si="0"/>
        <v>170</v>
      </c>
    </row>
    <row r="5" spans="1:9">
      <c r="A5" s="1" t="s">
        <v>63</v>
      </c>
      <c r="B5" s="2">
        <f t="shared" ref="B5:I16" si="1">B4+50</f>
        <v>220</v>
      </c>
      <c r="C5" s="2">
        <f t="shared" si="1"/>
        <v>250</v>
      </c>
      <c r="D5" s="2">
        <f t="shared" si="1"/>
        <v>220</v>
      </c>
      <c r="E5" s="2">
        <f t="shared" si="1"/>
        <v>220</v>
      </c>
      <c r="F5" s="2">
        <f t="shared" si="1"/>
        <v>220</v>
      </c>
      <c r="G5" s="2">
        <f t="shared" si="1"/>
        <v>320</v>
      </c>
      <c r="H5" s="2">
        <f t="shared" si="1"/>
        <v>320</v>
      </c>
      <c r="I5" s="2">
        <f t="shared" si="1"/>
        <v>220</v>
      </c>
    </row>
    <row r="6" spans="1:9">
      <c r="A6" s="1" t="s">
        <v>64</v>
      </c>
      <c r="B6" s="2">
        <f t="shared" si="1"/>
        <v>270</v>
      </c>
      <c r="C6" s="2">
        <f t="shared" si="1"/>
        <v>300</v>
      </c>
      <c r="D6" s="2">
        <f t="shared" si="1"/>
        <v>270</v>
      </c>
      <c r="E6" s="2">
        <f t="shared" si="1"/>
        <v>270</v>
      </c>
      <c r="F6" s="2">
        <f t="shared" si="1"/>
        <v>270</v>
      </c>
      <c r="G6" s="2">
        <f t="shared" si="1"/>
        <v>370</v>
      </c>
      <c r="H6" s="2">
        <f t="shared" si="1"/>
        <v>370</v>
      </c>
      <c r="I6" s="2">
        <f t="shared" si="1"/>
        <v>270</v>
      </c>
    </row>
    <row r="7" spans="1:9">
      <c r="A7" s="1" t="s">
        <v>65</v>
      </c>
      <c r="B7" s="2">
        <f t="shared" si="1"/>
        <v>320</v>
      </c>
      <c r="C7" s="2">
        <f t="shared" si="1"/>
        <v>350</v>
      </c>
      <c r="D7" s="2">
        <f t="shared" si="1"/>
        <v>320</v>
      </c>
      <c r="E7" s="2">
        <f t="shared" si="1"/>
        <v>320</v>
      </c>
      <c r="F7" s="2">
        <f t="shared" si="1"/>
        <v>320</v>
      </c>
      <c r="G7" s="2">
        <f t="shared" si="1"/>
        <v>420</v>
      </c>
      <c r="H7" s="2">
        <f t="shared" si="1"/>
        <v>420</v>
      </c>
      <c r="I7" s="2">
        <f t="shared" si="1"/>
        <v>320</v>
      </c>
    </row>
    <row r="8" spans="1:9">
      <c r="A8" s="1" t="s">
        <v>66</v>
      </c>
      <c r="B8" s="2">
        <f t="shared" si="1"/>
        <v>370</v>
      </c>
      <c r="C8" s="2">
        <f t="shared" si="1"/>
        <v>400</v>
      </c>
      <c r="D8" s="2">
        <f t="shared" si="1"/>
        <v>370</v>
      </c>
      <c r="E8" s="2">
        <f t="shared" si="1"/>
        <v>370</v>
      </c>
      <c r="F8" s="2">
        <f t="shared" si="1"/>
        <v>370</v>
      </c>
      <c r="G8" s="2">
        <f t="shared" si="1"/>
        <v>470</v>
      </c>
      <c r="H8" s="2">
        <f t="shared" si="1"/>
        <v>470</v>
      </c>
      <c r="I8" s="2">
        <f t="shared" si="1"/>
        <v>370</v>
      </c>
    </row>
    <row r="9" spans="1:9">
      <c r="A9" s="1" t="s">
        <v>67</v>
      </c>
      <c r="B9" s="2">
        <f t="shared" si="1"/>
        <v>420</v>
      </c>
      <c r="C9" s="2">
        <f t="shared" si="1"/>
        <v>450</v>
      </c>
      <c r="D9" s="2">
        <f t="shared" si="1"/>
        <v>420</v>
      </c>
      <c r="E9" s="2">
        <f t="shared" si="1"/>
        <v>420</v>
      </c>
      <c r="F9" s="2">
        <f t="shared" si="1"/>
        <v>420</v>
      </c>
      <c r="G9" s="2">
        <f t="shared" si="1"/>
        <v>520</v>
      </c>
      <c r="H9" s="2">
        <f t="shared" si="1"/>
        <v>520</v>
      </c>
      <c r="I9" s="2">
        <f t="shared" si="1"/>
        <v>420</v>
      </c>
    </row>
    <row r="10" spans="1:9">
      <c r="A10" s="1" t="s">
        <v>68</v>
      </c>
      <c r="B10" s="2">
        <f t="shared" si="1"/>
        <v>470</v>
      </c>
      <c r="C10" s="2">
        <f t="shared" si="1"/>
        <v>500</v>
      </c>
      <c r="D10" s="2">
        <f t="shared" si="1"/>
        <v>470</v>
      </c>
      <c r="E10" s="2">
        <f t="shared" si="1"/>
        <v>470</v>
      </c>
      <c r="F10" s="2">
        <f t="shared" si="1"/>
        <v>470</v>
      </c>
      <c r="G10" s="2">
        <f t="shared" si="1"/>
        <v>570</v>
      </c>
      <c r="H10" s="2">
        <f t="shared" si="1"/>
        <v>570</v>
      </c>
      <c r="I10" s="2">
        <f t="shared" si="1"/>
        <v>470</v>
      </c>
    </row>
    <row r="11" spans="1:9">
      <c r="A11" s="1" t="s">
        <v>69</v>
      </c>
      <c r="B11" s="2">
        <f t="shared" si="1"/>
        <v>520</v>
      </c>
      <c r="C11" s="2">
        <f t="shared" si="1"/>
        <v>550</v>
      </c>
      <c r="D11" s="2">
        <f t="shared" si="1"/>
        <v>520</v>
      </c>
      <c r="E11" s="2">
        <f t="shared" si="1"/>
        <v>520</v>
      </c>
      <c r="F11" s="2">
        <f t="shared" si="1"/>
        <v>520</v>
      </c>
      <c r="G11" s="2">
        <f t="shared" si="1"/>
        <v>620</v>
      </c>
      <c r="H11" s="2">
        <f t="shared" si="1"/>
        <v>620</v>
      </c>
      <c r="I11" s="2">
        <f t="shared" si="1"/>
        <v>520</v>
      </c>
    </row>
    <row r="12" spans="1:9">
      <c r="A12" s="1" t="s">
        <v>70</v>
      </c>
      <c r="B12" s="2">
        <f t="shared" si="1"/>
        <v>570</v>
      </c>
      <c r="C12" s="2">
        <f t="shared" si="1"/>
        <v>600</v>
      </c>
      <c r="D12" s="2">
        <f t="shared" si="1"/>
        <v>570</v>
      </c>
      <c r="E12" s="2">
        <f t="shared" si="1"/>
        <v>570</v>
      </c>
      <c r="F12" s="2">
        <f t="shared" si="1"/>
        <v>570</v>
      </c>
      <c r="G12" s="2">
        <f t="shared" si="1"/>
        <v>670</v>
      </c>
      <c r="H12" s="2">
        <f t="shared" si="1"/>
        <v>670</v>
      </c>
      <c r="I12" s="2">
        <f t="shared" si="1"/>
        <v>570</v>
      </c>
    </row>
    <row r="13" spans="1:9">
      <c r="A13" s="1" t="s">
        <v>71</v>
      </c>
      <c r="B13" s="2">
        <f t="shared" si="1"/>
        <v>620</v>
      </c>
      <c r="C13" s="2">
        <f t="shared" si="1"/>
        <v>650</v>
      </c>
      <c r="D13" s="2">
        <f t="shared" si="1"/>
        <v>620</v>
      </c>
      <c r="E13" s="2">
        <f t="shared" si="1"/>
        <v>620</v>
      </c>
      <c r="F13" s="2">
        <f t="shared" si="1"/>
        <v>620</v>
      </c>
      <c r="G13" s="2">
        <f t="shared" si="1"/>
        <v>720</v>
      </c>
      <c r="H13" s="2">
        <f t="shared" si="1"/>
        <v>720</v>
      </c>
      <c r="I13" s="2">
        <f t="shared" si="1"/>
        <v>620</v>
      </c>
    </row>
    <row r="14" spans="1:9">
      <c r="A14" s="1" t="s">
        <v>72</v>
      </c>
      <c r="B14" s="2">
        <f t="shared" si="1"/>
        <v>670</v>
      </c>
      <c r="C14" s="2">
        <f t="shared" si="1"/>
        <v>700</v>
      </c>
      <c r="D14" s="2">
        <f t="shared" si="1"/>
        <v>670</v>
      </c>
      <c r="E14" s="2">
        <f t="shared" si="1"/>
        <v>670</v>
      </c>
      <c r="F14" s="2">
        <f t="shared" si="1"/>
        <v>670</v>
      </c>
      <c r="G14" s="2">
        <f t="shared" si="1"/>
        <v>770</v>
      </c>
      <c r="H14" s="2">
        <f t="shared" si="1"/>
        <v>770</v>
      </c>
      <c r="I14" s="2">
        <f t="shared" si="1"/>
        <v>670</v>
      </c>
    </row>
    <row r="15" spans="1:9">
      <c r="A15" s="1" t="s">
        <v>73</v>
      </c>
      <c r="B15" s="2">
        <f t="shared" si="1"/>
        <v>720</v>
      </c>
      <c r="C15" s="2">
        <f t="shared" si="1"/>
        <v>750</v>
      </c>
      <c r="D15" s="2">
        <f t="shared" si="1"/>
        <v>720</v>
      </c>
      <c r="E15" s="2">
        <f t="shared" si="1"/>
        <v>720</v>
      </c>
      <c r="F15" s="2">
        <f t="shared" si="1"/>
        <v>720</v>
      </c>
      <c r="G15" s="2">
        <f t="shared" si="1"/>
        <v>820</v>
      </c>
      <c r="H15" s="2">
        <f t="shared" si="1"/>
        <v>820</v>
      </c>
      <c r="I15" s="2">
        <f t="shared" si="1"/>
        <v>720</v>
      </c>
    </row>
    <row r="16" spans="1:9">
      <c r="A16" s="1">
        <v>12000</v>
      </c>
      <c r="B16" s="2">
        <f t="shared" si="1"/>
        <v>770</v>
      </c>
      <c r="C16" s="2">
        <f t="shared" si="1"/>
        <v>800</v>
      </c>
      <c r="D16" s="2">
        <f t="shared" si="1"/>
        <v>770</v>
      </c>
      <c r="E16" s="2">
        <f t="shared" si="1"/>
        <v>770</v>
      </c>
      <c r="F16" s="2">
        <f t="shared" si="1"/>
        <v>770</v>
      </c>
      <c r="G16" s="2">
        <f t="shared" si="1"/>
        <v>870</v>
      </c>
      <c r="H16" s="2">
        <f t="shared" si="1"/>
        <v>870</v>
      </c>
      <c r="I16" s="2">
        <f t="shared" si="1"/>
        <v>770</v>
      </c>
    </row>
    <row r="17" spans="1:9">
      <c r="A17" s="1"/>
      <c r="B17" s="2"/>
      <c r="C17" s="2"/>
      <c r="D17" s="2"/>
      <c r="E17" s="2"/>
      <c r="F17" s="2"/>
      <c r="G17" s="2"/>
      <c r="H17" s="2"/>
      <c r="I17" s="2"/>
    </row>
    <row r="18" spans="1:9">
      <c r="A18" s="3" t="s">
        <v>74</v>
      </c>
      <c r="B18" s="2"/>
      <c r="C18" s="2"/>
      <c r="D18" s="2"/>
      <c r="E18" s="2"/>
      <c r="F18" s="2"/>
      <c r="G18" s="2"/>
      <c r="H18" s="2"/>
      <c r="I18" s="2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B3" sqref="B3"/>
    </sheetView>
  </sheetViews>
  <sheetFormatPr defaultRowHeight="18"/>
  <cols>
    <col min="1" max="1" width="46.5546875" style="4" bestFit="1" customWidth="1"/>
    <col min="2" max="2" width="32.33203125" style="9" customWidth="1"/>
    <col min="3" max="16384" width="8.88671875" style="4"/>
  </cols>
  <sheetData>
    <row r="1" spans="1:2" ht="18.600000000000001" thickBot="1">
      <c r="A1" s="46" t="s">
        <v>75</v>
      </c>
      <c r="B1" s="47"/>
    </row>
    <row r="2" spans="1:2">
      <c r="A2" s="5" t="s">
        <v>78</v>
      </c>
      <c r="B2" s="7">
        <v>35</v>
      </c>
    </row>
    <row r="3" spans="1:2">
      <c r="A3" s="6" t="s">
        <v>76</v>
      </c>
      <c r="B3" s="8">
        <v>15</v>
      </c>
    </row>
    <row r="4" spans="1:2">
      <c r="A4" s="6" t="s">
        <v>79</v>
      </c>
      <c r="B4" s="8">
        <v>15</v>
      </c>
    </row>
    <row r="5" spans="1:2">
      <c r="A5" s="6" t="s">
        <v>80</v>
      </c>
      <c r="B5" s="8">
        <v>50</v>
      </c>
    </row>
    <row r="6" spans="1:2">
      <c r="A6" s="6" t="s">
        <v>77</v>
      </c>
      <c r="B6" s="8" t="s">
        <v>81</v>
      </c>
    </row>
    <row r="7" spans="1:2">
      <c r="A7" s="6" t="s">
        <v>82</v>
      </c>
      <c r="B7" s="8" t="s">
        <v>81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DE FRETES</vt:lpstr>
      <vt:lpstr>TABELA DE ADICIONAIS</vt:lpstr>
      <vt:lpstr>TABELA ARMAZENAGEM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Transp</dc:creator>
  <cp:lastModifiedBy>Vilarejo</cp:lastModifiedBy>
  <cp:lastPrinted>2026-02-04T17:13:23Z</cp:lastPrinted>
  <dcterms:created xsi:type="dcterms:W3CDTF">2023-02-24T16:46:25Z</dcterms:created>
  <dcterms:modified xsi:type="dcterms:W3CDTF">2026-04-28T14:39:57Z</dcterms:modified>
</cp:coreProperties>
</file>