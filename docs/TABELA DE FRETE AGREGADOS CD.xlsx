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370" yWindow="-120" windowWidth="19440" windowHeight="10320" tabRatio="707"/>
  </bookViews>
  <sheets>
    <sheet name="RO" sheetId="13" r:id="rId1"/>
    <sheet name="MC" sheetId="15" r:id="rId2"/>
    <sheet name="MC S" sheetId="18" r:id="rId3"/>
    <sheet name="CF" sheetId="16" r:id="rId4"/>
    <sheet name="AR" sheetId="17" r:id="rId5"/>
    <sheet name="COTAÇÃO" sheetId="14" state="hidden" r:id="rId6"/>
    <sheet name="CP" sheetId="20" r:id="rId7"/>
  </sheets>
  <calcPr calcId="124519"/>
</workbook>
</file>

<file path=xl/calcChain.xml><?xml version="1.0" encoding="utf-8"?>
<calcChain xmlns="http://schemas.openxmlformats.org/spreadsheetml/2006/main">
  <c r="G19" i="20"/>
  <c r="I20" i="18"/>
  <c r="H20"/>
  <c r="G20"/>
  <c r="I20" i="16"/>
  <c r="H20"/>
  <c r="G20"/>
  <c r="I19" i="20"/>
  <c r="H19"/>
  <c r="D12"/>
  <c r="D11"/>
  <c r="D10"/>
  <c r="D13" i="17"/>
  <c r="D12"/>
  <c r="D11"/>
  <c r="H20"/>
  <c r="G20"/>
  <c r="I20"/>
  <c r="I20" i="13"/>
  <c r="H20"/>
  <c r="G20"/>
  <c r="I20" i="15"/>
  <c r="H20"/>
  <c r="G20"/>
  <c r="J20" i="18" l="1"/>
  <c r="K20" s="1"/>
  <c r="J19" i="20"/>
  <c r="K19" s="1"/>
  <c r="J20" i="15"/>
  <c r="K20" s="1"/>
  <c r="J20" i="13"/>
  <c r="K20" s="1"/>
  <c r="J20" i="17"/>
  <c r="K20" s="1"/>
  <c r="J20" i="16"/>
  <c r="K20" s="1"/>
</calcChain>
</file>

<file path=xl/sharedStrings.xml><?xml version="1.0" encoding="utf-8"?>
<sst xmlns="http://schemas.openxmlformats.org/spreadsheetml/2006/main" count="136" uniqueCount="56">
  <si>
    <t>%</t>
  </si>
  <si>
    <t>KM</t>
  </si>
  <si>
    <t>VALOR DA VENDA</t>
  </si>
  <si>
    <t>PESO</t>
  </si>
  <si>
    <t>R$ FRETE</t>
  </si>
  <si>
    <t>% Da Nota</t>
  </si>
  <si>
    <t>VALOR DO PESO</t>
  </si>
  <si>
    <t xml:space="preserve"> PESO</t>
  </si>
  <si>
    <t xml:space="preserve"> KM</t>
  </si>
  <si>
    <t xml:space="preserve"> Frete mínimo</t>
  </si>
  <si>
    <t>https://www.google.com.br/maps/preview</t>
  </si>
  <si>
    <t>Cotação de frete</t>
  </si>
  <si>
    <t>Endereço de coleta</t>
  </si>
  <si>
    <t>Endereço de entrega</t>
  </si>
  <si>
    <r>
      <rPr>
        <b/>
        <sz val="11"/>
        <rFont val="Calibri"/>
        <family val="2"/>
        <scheme val="minor"/>
      </rPr>
      <t>Nome:</t>
    </r>
    <r>
      <rPr>
        <sz val="11"/>
        <color indexed="8"/>
        <rFont val="Calibri"/>
        <family val="2"/>
      </rPr>
      <t xml:space="preserve"> Vilarejo de Macaé Materiais de construção LTDA</t>
    </r>
  </si>
  <si>
    <r>
      <rPr>
        <b/>
        <sz val="11"/>
        <rFont val="Calibri"/>
        <family val="2"/>
        <scheme val="minor"/>
      </rPr>
      <t>Nome:</t>
    </r>
    <r>
      <rPr>
        <sz val="11"/>
        <color indexed="8"/>
        <rFont val="Calibri"/>
        <family val="2"/>
      </rPr>
      <t xml:space="preserve"> BRENDA ZANINI</t>
    </r>
  </si>
  <si>
    <r>
      <rPr>
        <b/>
        <sz val="11"/>
        <rFont val="Calibri"/>
        <family val="2"/>
        <scheme val="minor"/>
      </rPr>
      <t>CNPJ:</t>
    </r>
    <r>
      <rPr>
        <sz val="11"/>
        <color indexed="8"/>
        <rFont val="Calibri"/>
        <family val="2"/>
      </rPr>
      <t xml:space="preserve"> 01.183.645/0008-46</t>
    </r>
  </si>
  <si>
    <r>
      <rPr>
        <b/>
        <sz val="11"/>
        <rFont val="Calibri"/>
        <family val="2"/>
        <scheme val="minor"/>
      </rPr>
      <t>CNPJ / CPF:</t>
    </r>
    <r>
      <rPr>
        <sz val="11"/>
        <color indexed="8"/>
        <rFont val="Calibri"/>
        <family val="2"/>
      </rPr>
      <t xml:space="preserve"> 134.675.367-94</t>
    </r>
  </si>
  <si>
    <r>
      <rPr>
        <b/>
        <sz val="11"/>
        <rFont val="Calibri"/>
        <family val="2"/>
        <scheme val="minor"/>
      </rPr>
      <t>Endereço:</t>
    </r>
    <r>
      <rPr>
        <sz val="11"/>
        <color indexed="8"/>
        <rFont val="Calibri"/>
        <family val="2"/>
      </rPr>
      <t xml:space="preserve"> Rodovia Serramar, km 8,5  S/N</t>
    </r>
  </si>
  <si>
    <r>
      <rPr>
        <b/>
        <sz val="11"/>
        <rFont val="Calibri"/>
        <family val="2"/>
        <scheme val="minor"/>
      </rPr>
      <t>Endereço:</t>
    </r>
    <r>
      <rPr>
        <sz val="11"/>
        <color indexed="8"/>
        <rFont val="Calibri"/>
        <family val="2"/>
      </rPr>
      <t xml:space="preserve"> Rua Minerva, Nº 149 </t>
    </r>
  </si>
  <si>
    <r>
      <rPr>
        <b/>
        <sz val="11"/>
        <rFont val="Calibri"/>
        <family val="2"/>
        <scheme val="minor"/>
      </rPr>
      <t>Bairro:</t>
    </r>
    <r>
      <rPr>
        <sz val="11"/>
        <color indexed="8"/>
        <rFont val="Calibri"/>
        <family val="2"/>
      </rPr>
      <t xml:space="preserve"> Vila Verde</t>
    </r>
  </si>
  <si>
    <r>
      <t xml:space="preserve">Bairro: </t>
    </r>
    <r>
      <rPr>
        <sz val="11"/>
        <color indexed="8"/>
        <rFont val="Calibri"/>
        <family val="2"/>
      </rPr>
      <t>Perdizes</t>
    </r>
  </si>
  <si>
    <r>
      <rPr>
        <b/>
        <sz val="11"/>
        <rFont val="Calibri"/>
        <family val="2"/>
        <scheme val="minor"/>
      </rPr>
      <t>Cidade:</t>
    </r>
    <r>
      <rPr>
        <sz val="11"/>
        <color indexed="8"/>
        <rFont val="Calibri"/>
        <family val="2"/>
      </rPr>
      <t xml:space="preserve"> Casimiro de Abreu</t>
    </r>
  </si>
  <si>
    <r>
      <rPr>
        <b/>
        <sz val="11"/>
        <rFont val="Calibri"/>
        <family val="2"/>
        <scheme val="minor"/>
      </rPr>
      <t>Cidade:</t>
    </r>
    <r>
      <rPr>
        <sz val="11"/>
        <color indexed="8"/>
        <rFont val="Calibri"/>
        <family val="2"/>
      </rPr>
      <t xml:space="preserve"> São Paulo</t>
    </r>
  </si>
  <si>
    <r>
      <rPr>
        <b/>
        <sz val="11"/>
        <rFont val="Calibri"/>
        <family val="2"/>
        <scheme val="minor"/>
      </rPr>
      <t>Estado:</t>
    </r>
    <r>
      <rPr>
        <sz val="11"/>
        <color indexed="8"/>
        <rFont val="Calibri"/>
        <family val="2"/>
      </rPr>
      <t xml:space="preserve"> RJ</t>
    </r>
  </si>
  <si>
    <r>
      <rPr>
        <b/>
        <sz val="11"/>
        <rFont val="Calibri"/>
        <family val="2"/>
        <scheme val="minor"/>
      </rPr>
      <t xml:space="preserve">Estado: </t>
    </r>
    <r>
      <rPr>
        <sz val="11"/>
        <color indexed="8"/>
        <rFont val="Calibri"/>
        <family val="2"/>
      </rPr>
      <t>SP</t>
    </r>
  </si>
  <si>
    <r>
      <rPr>
        <b/>
        <sz val="11"/>
        <rFont val="Calibri"/>
        <family val="2"/>
        <scheme val="minor"/>
      </rPr>
      <t xml:space="preserve">Cep: </t>
    </r>
    <r>
      <rPr>
        <sz val="11"/>
        <color indexed="8"/>
        <rFont val="Calibri"/>
        <family val="2"/>
      </rPr>
      <t>28860000</t>
    </r>
  </si>
  <si>
    <r>
      <rPr>
        <b/>
        <sz val="11"/>
        <rFont val="Calibri"/>
        <family val="2"/>
        <scheme val="minor"/>
      </rPr>
      <t>Cep:</t>
    </r>
    <r>
      <rPr>
        <sz val="11"/>
        <color indexed="8"/>
        <rFont val="Calibri"/>
        <family val="2"/>
      </rPr>
      <t xml:space="preserve"> 5007-030</t>
    </r>
  </si>
  <si>
    <r>
      <rPr>
        <b/>
        <sz val="11"/>
        <rFont val="Calibri"/>
        <family val="2"/>
        <scheme val="minor"/>
      </rPr>
      <t>Referência:</t>
    </r>
    <r>
      <rPr>
        <sz val="11"/>
        <color indexed="8"/>
        <rFont val="Calibri"/>
        <family val="2"/>
      </rPr>
      <t xml:space="preserve"> No centro de distribuição da Vilarejo</t>
    </r>
  </si>
  <si>
    <r>
      <rPr>
        <b/>
        <sz val="11"/>
        <rFont val="Calibri"/>
        <family val="2"/>
        <scheme val="minor"/>
      </rPr>
      <t>Referência:</t>
    </r>
    <r>
      <rPr>
        <sz val="11"/>
        <color indexed="8"/>
        <rFont val="Calibri"/>
        <family val="2"/>
      </rPr>
      <t xml:space="preserve"> </t>
    </r>
  </si>
  <si>
    <r>
      <rPr>
        <b/>
        <sz val="11"/>
        <rFont val="Calibri"/>
        <family val="2"/>
        <scheme val="minor"/>
      </rPr>
      <t>Contato:</t>
    </r>
    <r>
      <rPr>
        <sz val="11"/>
        <color indexed="8"/>
        <rFont val="Calibri"/>
        <family val="2"/>
      </rPr>
      <t xml:space="preserve"> Vyctor Paes (22)999797662</t>
    </r>
  </si>
  <si>
    <t xml:space="preserve">Contato: </t>
  </si>
  <si>
    <r>
      <t xml:space="preserve">Tipo de Carregamento: </t>
    </r>
    <r>
      <rPr>
        <sz val="11"/>
        <color indexed="8"/>
        <rFont val="Calibri"/>
        <family val="2"/>
      </rPr>
      <t>Na empilhadeira</t>
    </r>
  </si>
  <si>
    <r>
      <t xml:space="preserve">Tipo de Descarga: </t>
    </r>
    <r>
      <rPr>
        <sz val="11"/>
        <color rgb="FFFF0000"/>
        <rFont val="Calibri"/>
        <family val="2"/>
        <scheme val="minor"/>
      </rPr>
      <t>Manual, necessário bater a carga</t>
    </r>
  </si>
  <si>
    <t>Dados do material</t>
  </si>
  <si>
    <r>
      <t xml:space="preserve">Tipo de Material: </t>
    </r>
    <r>
      <rPr>
        <sz val="11"/>
        <color indexed="8"/>
        <rFont val="Calibri"/>
        <family val="2"/>
      </rPr>
      <t xml:space="preserve">Material de Construção ( Pisos e Revestimentos ) </t>
    </r>
  </si>
  <si>
    <t xml:space="preserve">Volume: </t>
  </si>
  <si>
    <t xml:space="preserve">Tamanho: </t>
  </si>
  <si>
    <r>
      <t xml:space="preserve">Peso Total: </t>
    </r>
    <r>
      <rPr>
        <sz val="11"/>
        <color indexed="8"/>
        <rFont val="Calibri"/>
        <family val="2"/>
      </rPr>
      <t>1.975,158KG</t>
    </r>
  </si>
  <si>
    <r>
      <t xml:space="preserve">Valor total da NF: </t>
    </r>
    <r>
      <rPr>
        <sz val="11"/>
        <color indexed="8"/>
        <rFont val="Calibri"/>
        <family val="2"/>
      </rPr>
      <t xml:space="preserve">R$17.095,11 </t>
    </r>
  </si>
  <si>
    <t>Dados do Frete</t>
  </si>
  <si>
    <t>Prazo de Coleta:</t>
  </si>
  <si>
    <t>Prazo de Entrega</t>
  </si>
  <si>
    <t>Valor do Frete</t>
  </si>
  <si>
    <t>Observações</t>
  </si>
  <si>
    <t>SIMULADOR DE FRETE VILAREJO RIO DAS OSTRAS</t>
  </si>
  <si>
    <t>SIMULADOR DE FRETE VILAREJO MACAÉ</t>
  </si>
  <si>
    <t xml:space="preserve">TABELA DE PAGAMENTO </t>
  </si>
  <si>
    <t>VALOR % DA NOTA</t>
  </si>
  <si>
    <t>VALOR DO KM RODADO</t>
  </si>
  <si>
    <t>VALOR DO KG</t>
  </si>
  <si>
    <t>DADOS DA ROTA</t>
  </si>
  <si>
    <t xml:space="preserve">SIMULADOR DE FRETE VILAREJO CF - BZ - SPD - AR </t>
  </si>
  <si>
    <t xml:space="preserve">SIMULADOR DE FRETE VILAREJO ARARUAMA </t>
  </si>
  <si>
    <t xml:space="preserve">SIMULADOR DE FRETE VILAREJO MACAÉ SERRA </t>
  </si>
  <si>
    <t xml:space="preserve">SIMULADOR DE FRETE VILAREJO CAMPOS </t>
  </si>
</sst>
</file>

<file path=xl/styles.xml><?xml version="1.0" encoding="utf-8"?>
<styleSheet xmlns="http://schemas.openxmlformats.org/spreadsheetml/2006/main">
  <numFmts count="4">
    <numFmt numFmtId="44" formatCode="_-&quot;R$&quot;\ * #,##0.00_-;\-&quot;R$&quot;\ * #,##0.00_-;_-&quot;R$&quot;\ * &quot;-&quot;??_-;_-@_-"/>
    <numFmt numFmtId="164" formatCode="0.0%"/>
    <numFmt numFmtId="165" formatCode="[&lt;=9999999]###\-####;\(###\)\ ###\-####"/>
    <numFmt numFmtId="166" formatCode="_-[$R$-416]\ * #,##0.00_-;\-[$R$-416]\ * #,##0.00_-;_-[$R$-416]\ * &quot;-&quot;??_-;_-@_-"/>
  </numFmts>
  <fonts count="35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22"/>
      <color theme="0"/>
      <name val="Calibri"/>
      <family val="2"/>
    </font>
    <font>
      <sz val="22"/>
      <color theme="0"/>
      <name val="Calibri"/>
      <family val="2"/>
    </font>
    <font>
      <sz val="22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  <font>
      <b/>
      <sz val="11"/>
      <color theme="0" tint="-4.9989318521683403E-2"/>
      <name val="Calibri"/>
      <family val="2"/>
    </font>
    <font>
      <u/>
      <sz val="11"/>
      <color theme="10"/>
      <name val="Calibri"/>
      <family val="2"/>
    </font>
    <font>
      <b/>
      <i/>
      <sz val="2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44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1" fillId="0" borderId="0">
      <alignment horizontal="right"/>
    </xf>
    <xf numFmtId="165" fontId="32" fillId="0" borderId="0" applyFont="0" applyFill="0" applyBorder="0">
      <alignment horizontal="left" vertical="top"/>
    </xf>
    <xf numFmtId="0" fontId="32" fillId="0" borderId="0" applyNumberFormat="0" applyFont="0" applyFill="0" applyBorder="0">
      <alignment horizontal="left" wrapText="1"/>
    </xf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justify"/>
    </xf>
    <xf numFmtId="0" fontId="26" fillId="34" borderId="11" xfId="0" applyFont="1" applyFill="1" applyBorder="1" applyAlignment="1">
      <alignment horizontal="center" vertical="center"/>
    </xf>
    <xf numFmtId="0" fontId="22" fillId="36" borderId="11" xfId="0" applyFont="1" applyFill="1" applyBorder="1" applyAlignment="1">
      <alignment horizontal="center" vertical="center"/>
    </xf>
    <xf numFmtId="0" fontId="20" fillId="37" borderId="0" xfId="0" applyFont="1" applyFill="1"/>
    <xf numFmtId="0" fontId="22" fillId="36" borderId="0" xfId="0" applyFont="1" applyFill="1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justify"/>
    </xf>
    <xf numFmtId="0" fontId="0" fillId="33" borderId="0" xfId="0" applyFill="1" applyAlignment="1">
      <alignment horizontal="center"/>
    </xf>
    <xf numFmtId="44" fontId="0" fillId="33" borderId="0" xfId="1" applyFont="1" applyFill="1"/>
    <xf numFmtId="44" fontId="0" fillId="33" borderId="0" xfId="0" applyNumberFormat="1" applyFill="1"/>
    <xf numFmtId="9" fontId="0" fillId="33" borderId="0" xfId="43" applyFont="1" applyFill="1"/>
    <xf numFmtId="0" fontId="2" fillId="0" borderId="0" xfId="2" applyAlignment="1">
      <alignment horizontal="center"/>
    </xf>
    <xf numFmtId="0" fontId="0" fillId="0" borderId="0" xfId="0" applyAlignment="1">
      <alignment horizontal="left" vertical="center" wrapText="1"/>
    </xf>
    <xf numFmtId="0" fontId="31" fillId="0" borderId="0" xfId="45">
      <alignment horizontal="right"/>
    </xf>
    <xf numFmtId="0" fontId="5" fillId="0" borderId="0" xfId="6" applyAlignment="1">
      <alignment horizontal="right" vertical="center"/>
    </xf>
    <xf numFmtId="0" fontId="4" fillId="0" borderId="2" xfId="4" applyAlignment="1">
      <alignment horizontal="right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6" fillId="0" borderId="10" xfId="18" applyBorder="1" applyAlignment="1">
      <alignment horizontal="right" vertical="center" indent="1"/>
    </xf>
    <xf numFmtId="9" fontId="32" fillId="0" borderId="10" xfId="43" applyFont="1" applyBorder="1" applyAlignment="1">
      <alignment horizontal="right" vertical="center"/>
    </xf>
    <xf numFmtId="0" fontId="16" fillId="0" borderId="9" xfId="18" applyAlignment="1">
      <alignment horizontal="right" vertical="center" indent="1"/>
    </xf>
    <xf numFmtId="44" fontId="0" fillId="38" borderId="0" xfId="1" applyFont="1" applyFill="1" applyBorder="1" applyAlignment="1">
      <alignment horizontal="right" vertical="center"/>
    </xf>
    <xf numFmtId="0" fontId="30" fillId="0" borderId="0" xfId="17" applyFont="1" applyAlignment="1">
      <alignment vertical="top" wrapText="1"/>
    </xf>
    <xf numFmtId="0" fontId="31" fillId="0" borderId="11" xfId="0" applyFont="1" applyBorder="1" applyAlignment="1">
      <alignment vertical="center" wrapText="1"/>
    </xf>
    <xf numFmtId="44" fontId="32" fillId="38" borderId="0" xfId="1" applyFont="1" applyFill="1" applyBorder="1" applyAlignment="1">
      <alignment horizontal="right" vertical="center"/>
    </xf>
    <xf numFmtId="0" fontId="31" fillId="0" borderId="22" xfId="0" applyFont="1" applyBorder="1" applyAlignment="1">
      <alignment vertical="center"/>
    </xf>
    <xf numFmtId="0" fontId="0" fillId="38" borderId="0" xfId="0" applyFill="1" applyAlignment="1">
      <alignment horizontal="left" vertical="center"/>
    </xf>
    <xf numFmtId="0" fontId="33" fillId="8" borderId="23" xfId="16" applyFont="1" applyBorder="1" applyAlignment="1">
      <alignment vertical="center" wrapText="1"/>
    </xf>
    <xf numFmtId="166" fontId="34" fillId="8" borderId="24" xfId="16" applyNumberFormat="1" applyFont="1" applyBorder="1" applyAlignment="1">
      <alignment vertical="center" wrapText="1"/>
    </xf>
    <xf numFmtId="0" fontId="1" fillId="8" borderId="8" xfId="16" applyAlignment="1">
      <alignment wrapText="1"/>
    </xf>
    <xf numFmtId="0" fontId="31" fillId="0" borderId="0" xfId="0" applyFont="1" applyAlignment="1">
      <alignment horizontal="left" wrapText="1"/>
    </xf>
    <xf numFmtId="0" fontId="20" fillId="35" borderId="14" xfId="0" applyFont="1" applyFill="1" applyBorder="1" applyAlignment="1">
      <alignment horizontal="center" vertical="center"/>
    </xf>
    <xf numFmtId="164" fontId="28" fillId="35" borderId="14" xfId="43" applyNumberFormat="1" applyFont="1" applyFill="1" applyBorder="1" applyAlignment="1">
      <alignment horizontal="center" vertical="center"/>
    </xf>
    <xf numFmtId="0" fontId="22" fillId="36" borderId="28" xfId="0" applyFont="1" applyFill="1" applyBorder="1" applyAlignment="1">
      <alignment horizontal="center" vertical="center"/>
    </xf>
    <xf numFmtId="3" fontId="20" fillId="34" borderId="30" xfId="0" applyNumberFormat="1" applyFont="1" applyFill="1" applyBorder="1" applyAlignment="1">
      <alignment horizontal="center" vertical="center"/>
    </xf>
    <xf numFmtId="44" fontId="20" fillId="34" borderId="36" xfId="1" applyFont="1" applyFill="1" applyBorder="1" applyAlignment="1">
      <alignment horizontal="center" vertical="center"/>
    </xf>
    <xf numFmtId="3" fontId="20" fillId="34" borderId="36" xfId="0" applyNumberFormat="1" applyFont="1" applyFill="1" applyBorder="1" applyAlignment="1">
      <alignment horizontal="center" vertical="center"/>
    </xf>
    <xf numFmtId="44" fontId="27" fillId="34" borderId="36" xfId="1" applyFont="1" applyFill="1" applyBorder="1" applyAlignment="1">
      <alignment horizontal="center" vertical="center"/>
    </xf>
    <xf numFmtId="44" fontId="26" fillId="35" borderId="31" xfId="0" applyNumberFormat="1" applyFont="1" applyFill="1" applyBorder="1" applyAlignment="1">
      <alignment horizontal="center" vertical="center"/>
    </xf>
    <xf numFmtId="0" fontId="20" fillId="39" borderId="0" xfId="0" applyFont="1" applyFill="1"/>
    <xf numFmtId="0" fontId="20" fillId="39" borderId="0" xfId="0" applyFont="1" applyFill="1" applyAlignment="1">
      <alignment horizontal="center" vertical="justify"/>
    </xf>
    <xf numFmtId="0" fontId="23" fillId="39" borderId="0" xfId="0" applyFont="1" applyFill="1" applyAlignment="1">
      <alignment horizontal="center" vertical="justify"/>
    </xf>
    <xf numFmtId="0" fontId="19" fillId="39" borderId="0" xfId="0" applyFont="1" applyFill="1"/>
    <xf numFmtId="0" fontId="21" fillId="39" borderId="0" xfId="0" applyFont="1" applyFill="1" applyAlignment="1">
      <alignment vertical="center"/>
    </xf>
    <xf numFmtId="0" fontId="21" fillId="39" borderId="0" xfId="0" applyFont="1" applyFill="1" applyAlignment="1">
      <alignment horizontal="center" vertical="center"/>
    </xf>
    <xf numFmtId="0" fontId="19" fillId="39" borderId="28" xfId="0" applyFont="1" applyFill="1" applyBorder="1" applyAlignment="1">
      <alignment horizontal="left"/>
    </xf>
    <xf numFmtId="164" fontId="19" fillId="39" borderId="29" xfId="0" applyNumberFormat="1" applyFont="1" applyFill="1" applyBorder="1" applyAlignment="1">
      <alignment horizontal="center"/>
    </xf>
    <xf numFmtId="44" fontId="19" fillId="39" borderId="0" xfId="1" applyFont="1" applyFill="1" applyBorder="1" applyAlignment="1">
      <alignment horizontal="center"/>
    </xf>
    <xf numFmtId="0" fontId="22" fillId="39" borderId="0" xfId="0" applyFont="1" applyFill="1" applyAlignment="1">
      <alignment horizontal="right"/>
    </xf>
    <xf numFmtId="0" fontId="19" fillId="39" borderId="29" xfId="0" applyFont="1" applyFill="1" applyBorder="1" applyAlignment="1">
      <alignment horizontal="center"/>
    </xf>
    <xf numFmtId="0" fontId="24" fillId="39" borderId="0" xfId="0" applyFont="1" applyFill="1"/>
    <xf numFmtId="0" fontId="19" fillId="39" borderId="30" xfId="0" applyFont="1" applyFill="1" applyBorder="1" applyAlignment="1">
      <alignment horizontal="left"/>
    </xf>
    <xf numFmtId="0" fontId="19" fillId="39" borderId="31" xfId="0" applyFont="1" applyFill="1" applyBorder="1" applyAlignment="1">
      <alignment horizontal="center"/>
    </xf>
    <xf numFmtId="0" fontId="19" fillId="39" borderId="25" xfId="0" applyFont="1" applyFill="1" applyBorder="1" applyAlignment="1">
      <alignment horizontal="center"/>
    </xf>
    <xf numFmtId="44" fontId="19" fillId="39" borderId="25" xfId="1" applyFont="1" applyFill="1" applyBorder="1" applyAlignment="1">
      <alignment horizontal="center"/>
    </xf>
    <xf numFmtId="0" fontId="25" fillId="39" borderId="0" xfId="0" applyFont="1" applyFill="1" applyAlignment="1">
      <alignment horizontal="center"/>
    </xf>
    <xf numFmtId="0" fontId="24" fillId="39" borderId="0" xfId="0" applyFont="1" applyFill="1" applyAlignment="1">
      <alignment horizontal="center"/>
    </xf>
    <xf numFmtId="164" fontId="19" fillId="39" borderId="11" xfId="0" applyNumberFormat="1" applyFont="1" applyFill="1" applyBorder="1" applyAlignment="1">
      <alignment horizontal="center" vertical="center"/>
    </xf>
    <xf numFmtId="0" fontId="21" fillId="39" borderId="0" xfId="0" applyFont="1" applyFill="1" applyAlignment="1">
      <alignment horizontal="left"/>
    </xf>
    <xf numFmtId="44" fontId="19" fillId="39" borderId="11" xfId="1" applyFont="1" applyFill="1" applyBorder="1" applyAlignment="1">
      <alignment horizontal="center" vertical="center"/>
    </xf>
    <xf numFmtId="0" fontId="19" fillId="39" borderId="0" xfId="0" applyFont="1" applyFill="1" applyAlignment="1">
      <alignment horizontal="center" vertical="justify"/>
    </xf>
    <xf numFmtId="0" fontId="19" fillId="39" borderId="0" xfId="0" applyFont="1" applyFill="1" applyAlignment="1">
      <alignment horizontal="left"/>
    </xf>
    <xf numFmtId="44" fontId="19" fillId="39" borderId="0" xfId="1" applyFont="1" applyFill="1" applyBorder="1"/>
    <xf numFmtId="44" fontId="20" fillId="39" borderId="0" xfId="1" applyFont="1" applyFill="1" applyBorder="1"/>
    <xf numFmtId="44" fontId="20" fillId="39" borderId="0" xfId="0" applyNumberFormat="1" applyFont="1" applyFill="1"/>
    <xf numFmtId="44" fontId="20" fillId="39" borderId="0" xfId="1" applyFont="1" applyFill="1"/>
    <xf numFmtId="0" fontId="19" fillId="39" borderId="39" xfId="0" applyFont="1" applyFill="1" applyBorder="1" applyAlignment="1">
      <alignment horizontal="left"/>
    </xf>
    <xf numFmtId="0" fontId="19" fillId="39" borderId="40" xfId="0" applyFont="1" applyFill="1" applyBorder="1" applyAlignment="1">
      <alignment horizontal="center"/>
    </xf>
    <xf numFmtId="0" fontId="19" fillId="39" borderId="0" xfId="0" applyFont="1" applyFill="1" applyAlignment="1">
      <alignment horizontal="center"/>
    </xf>
    <xf numFmtId="0" fontId="19" fillId="39" borderId="41" xfId="0" applyFont="1" applyFill="1" applyBorder="1" applyAlignment="1">
      <alignment horizontal="left"/>
    </xf>
    <xf numFmtId="0" fontId="19" fillId="39" borderId="42" xfId="0" applyFont="1" applyFill="1" applyBorder="1" applyAlignment="1">
      <alignment horizontal="center"/>
    </xf>
    <xf numFmtId="0" fontId="23" fillId="39" borderId="0" xfId="0" applyFont="1" applyFill="1" applyAlignment="1">
      <alignment horizontal="center" vertical="center"/>
    </xf>
    <xf numFmtId="0" fontId="21" fillId="39" borderId="32" xfId="0" applyFont="1" applyFill="1" applyBorder="1" applyAlignment="1">
      <alignment horizontal="center" vertical="center"/>
    </xf>
    <xf numFmtId="0" fontId="21" fillId="39" borderId="38" xfId="0" applyFont="1" applyFill="1" applyBorder="1" applyAlignment="1">
      <alignment horizontal="center" vertical="center"/>
    </xf>
    <xf numFmtId="0" fontId="29" fillId="39" borderId="34" xfId="44" applyFill="1" applyBorder="1" applyAlignment="1">
      <alignment horizontal="left" vertical="center"/>
    </xf>
    <xf numFmtId="0" fontId="21" fillId="39" borderId="15" xfId="0" applyFont="1" applyFill="1" applyBorder="1" applyAlignment="1">
      <alignment horizontal="left"/>
    </xf>
    <xf numFmtId="0" fontId="21" fillId="39" borderId="0" xfId="0" applyFont="1" applyFill="1" applyAlignment="1">
      <alignment horizontal="left"/>
    </xf>
    <xf numFmtId="0" fontId="26" fillId="35" borderId="12" xfId="0" applyFont="1" applyFill="1" applyBorder="1" applyAlignment="1">
      <alignment horizontal="center" vertical="center"/>
    </xf>
    <xf numFmtId="0" fontId="26" fillId="35" borderId="13" xfId="0" applyFont="1" applyFill="1" applyBorder="1" applyAlignment="1">
      <alignment horizontal="center" vertical="center"/>
    </xf>
    <xf numFmtId="0" fontId="26" fillId="35" borderId="37" xfId="0" applyFont="1" applyFill="1" applyBorder="1" applyAlignment="1">
      <alignment horizontal="center" vertical="center"/>
    </xf>
    <xf numFmtId="0" fontId="22" fillId="36" borderId="32" xfId="0" applyFont="1" applyFill="1" applyBorder="1" applyAlignment="1">
      <alignment horizontal="center" vertical="center"/>
    </xf>
    <xf numFmtId="0" fontId="22" fillId="36" borderId="33" xfId="0" applyFont="1" applyFill="1" applyBorder="1" applyAlignment="1">
      <alignment horizontal="center" vertical="center"/>
    </xf>
    <xf numFmtId="0" fontId="22" fillId="36" borderId="38" xfId="0" applyFont="1" applyFill="1" applyBorder="1" applyAlignment="1">
      <alignment horizontal="center" vertical="center"/>
    </xf>
    <xf numFmtId="0" fontId="22" fillId="36" borderId="34" xfId="0" applyFont="1" applyFill="1" applyBorder="1" applyAlignment="1">
      <alignment horizontal="center" vertical="center"/>
    </xf>
    <xf numFmtId="0" fontId="22" fillId="36" borderId="35" xfId="0" applyFont="1" applyFill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35" borderId="29" xfId="0" applyFont="1" applyFill="1" applyBorder="1" applyAlignment="1">
      <alignment horizontal="center" vertical="center"/>
    </xf>
    <xf numFmtId="0" fontId="29" fillId="39" borderId="0" xfId="44" applyFill="1" applyBorder="1" applyAlignment="1">
      <alignment horizontal="left" vertical="center"/>
    </xf>
    <xf numFmtId="0" fontId="21" fillId="39" borderId="26" xfId="0" applyFont="1" applyFill="1" applyBorder="1" applyAlignment="1">
      <alignment horizontal="center" vertical="center"/>
    </xf>
    <xf numFmtId="0" fontId="21" fillId="39" borderId="27" xfId="0" applyFont="1" applyFill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0" fillId="0" borderId="10" xfId="17" applyFont="1" applyBorder="1" applyAlignment="1">
      <alignment horizontal="center" vertical="top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8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5" xfId="47" applyFont="1" applyBorder="1">
      <alignment horizontal="left" wrapText="1"/>
    </xf>
    <xf numFmtId="0" fontId="0" fillId="0" borderId="0" xfId="47" applyFont="1" applyBorder="1">
      <alignment horizontal="left" wrapText="1"/>
    </xf>
    <xf numFmtId="0" fontId="0" fillId="0" borderId="20" xfId="47" applyFont="1" applyBorder="1">
      <alignment horizontal="left" wrapText="1"/>
    </xf>
    <xf numFmtId="0" fontId="31" fillId="0" borderId="0" xfId="47" applyFont="1" applyBorder="1">
      <alignment horizontal="left" wrapText="1"/>
    </xf>
    <xf numFmtId="0" fontId="31" fillId="0" borderId="20" xfId="47" applyFont="1" applyBorder="1">
      <alignment horizontal="left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165" fontId="0" fillId="0" borderId="0" xfId="46" applyFont="1">
      <alignment horizontal="left" vertical="top"/>
    </xf>
    <xf numFmtId="0" fontId="30" fillId="0" borderId="0" xfId="17" applyFont="1" applyAlignment="1">
      <alignment horizontal="center" wrapText="1"/>
    </xf>
    <xf numFmtId="0" fontId="31" fillId="0" borderId="18" xfId="0" applyFont="1" applyBorder="1" applyAlignment="1">
      <alignment horizontal="left" vertical="center"/>
    </xf>
    <xf numFmtId="0" fontId="31" fillId="0" borderId="17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165" fontId="0" fillId="0" borderId="15" xfId="46" applyFont="1" applyBorder="1">
      <alignment horizontal="left" vertical="top"/>
    </xf>
    <xf numFmtId="165" fontId="0" fillId="0" borderId="0" xfId="46" applyFont="1" applyBorder="1">
      <alignment horizontal="left" vertical="top"/>
    </xf>
    <xf numFmtId="165" fontId="0" fillId="0" borderId="20" xfId="46" applyFont="1" applyBorder="1">
      <alignment horizontal="left" vertical="top"/>
    </xf>
    <xf numFmtId="0" fontId="0" fillId="0" borderId="15" xfId="47" applyFont="1" applyBorder="1">
      <alignment horizontal="left" wrapText="1"/>
    </xf>
    <xf numFmtId="0" fontId="32" fillId="0" borderId="0" xfId="47" applyBorder="1">
      <alignment horizontal="left" wrapText="1"/>
    </xf>
    <xf numFmtId="0" fontId="32" fillId="0" borderId="20" xfId="47" applyBorder="1">
      <alignment horizontal="left" wrapText="1"/>
    </xf>
    <xf numFmtId="0" fontId="2" fillId="0" borderId="0" xfId="2" applyAlignment="1">
      <alignment horizontal="center"/>
    </xf>
    <xf numFmtId="0" fontId="30" fillId="0" borderId="0" xfId="17" applyFont="1" applyAlignment="1">
      <alignment horizontal="center" vertical="top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</cellXfs>
  <cellStyles count="48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Data do rótulo" xfId="45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yperlink" xfId="44" builtinId="8"/>
    <cellStyle name="Incorreto" xfId="8" builtinId="27" customBuiltin="1"/>
    <cellStyle name="Moeda" xfId="1" builtinId="4" customBuiltin="1"/>
    <cellStyle name="Neutra" xfId="9" builtinId="28" customBuiltin="1"/>
    <cellStyle name="Nome" xfId="47"/>
    <cellStyle name="Normal" xfId="0" builtinId="0" customBuiltin="1"/>
    <cellStyle name="Nota" xfId="16" builtinId="10" customBuiltin="1"/>
    <cellStyle name="Porcentagem" xfId="43" builtinId="5"/>
    <cellStyle name="Saída" xfId="11" builtinId="21" customBuiltin="1"/>
    <cellStyle name="Telefone" xfId="46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.br/maps/pre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.br/maps/previe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.br/maps/pre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.br/maps/previe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.br/maps/previe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.br/maps/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showGridLines="0" tabSelected="1" zoomScale="115" zoomScaleNormal="115" workbookViewId="0">
      <selection activeCell="J20" sqref="J20"/>
    </sheetView>
  </sheetViews>
  <sheetFormatPr defaultRowHeight="15"/>
  <cols>
    <col min="1" max="1" width="7.28515625" customWidth="1"/>
    <col min="2" max="2" width="16.140625" customWidth="1"/>
    <col min="3" max="3" width="7.85546875" customWidth="1"/>
    <col min="4" max="4" width="23.42578125" customWidth="1"/>
    <col min="5" max="5" width="23" customWidth="1"/>
    <col min="6" max="6" width="19.28515625" customWidth="1"/>
    <col min="7" max="7" width="25.140625" hidden="1" customWidth="1"/>
    <col min="8" max="8" width="18.42578125" hidden="1" customWidth="1"/>
    <col min="9" max="9" width="22.42578125" hidden="1" customWidth="1"/>
    <col min="10" max="10" width="28" customWidth="1"/>
    <col min="11" max="11" width="5.7109375" customWidth="1"/>
    <col min="12" max="12" width="5.5703125" bestFit="1" customWidth="1"/>
    <col min="13" max="13" width="3.5703125" customWidth="1"/>
  </cols>
  <sheetData>
    <row r="1" spans="1:16" ht="4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45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s="2" customFormat="1" ht="27" customHeight="1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2.25" customHeight="1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 ht="18" customHeight="1">
      <c r="A5" s="7"/>
      <c r="B5" s="7"/>
      <c r="C5" s="45"/>
      <c r="D5" s="75" t="s">
        <v>47</v>
      </c>
      <c r="E5" s="76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 ht="18" customHeight="1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18" customHeight="1">
      <c r="A7" s="7"/>
      <c r="B7" s="7"/>
      <c r="C7" s="45"/>
      <c r="D7" s="48" t="s">
        <v>49</v>
      </c>
      <c r="E7" s="52">
        <v>6.32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18" customHeight="1" thickBot="1">
      <c r="A8" s="7"/>
      <c r="B8" s="7"/>
      <c r="C8" s="45"/>
      <c r="D8" s="54" t="s">
        <v>50</v>
      </c>
      <c r="E8" s="55">
        <v>0.06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18" hidden="1" customHeight="1">
      <c r="A9" s="7"/>
      <c r="B9" s="7"/>
      <c r="C9" s="45"/>
      <c r="D9" s="56"/>
      <c r="E9" s="56"/>
      <c r="F9" s="57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15.75" hidden="1" customHeight="1">
      <c r="A10" s="7"/>
      <c r="B10" s="7"/>
      <c r="C10" s="45"/>
      <c r="D10" s="58"/>
      <c r="E10" s="58"/>
      <c r="F10" s="58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t="15.75" hidden="1" customHeight="1">
      <c r="A11" s="7"/>
      <c r="B11" s="7"/>
      <c r="C11" s="45"/>
      <c r="D11" s="60">
        <v>1.17E-2</v>
      </c>
      <c r="E11" s="78" t="s">
        <v>5</v>
      </c>
      <c r="F11" s="79"/>
      <c r="G11" s="58"/>
      <c r="H11" s="59"/>
      <c r="I11" s="59"/>
      <c r="J11" s="59"/>
      <c r="K11" s="59"/>
      <c r="L11" s="42"/>
      <c r="M11" s="7"/>
      <c r="N11" s="7"/>
      <c r="O11" s="7"/>
      <c r="P11" s="7"/>
    </row>
    <row r="12" spans="1:16" hidden="1">
      <c r="A12" s="7"/>
      <c r="B12" s="7"/>
      <c r="C12" s="45"/>
      <c r="D12" s="62">
        <v>6.32</v>
      </c>
      <c r="E12" s="78" t="s">
        <v>8</v>
      </c>
      <c r="F12" s="79"/>
      <c r="G12" s="61"/>
      <c r="H12" s="42"/>
      <c r="I12" s="42"/>
      <c r="J12" s="42"/>
      <c r="K12" s="42"/>
      <c r="L12" s="42"/>
      <c r="M12" s="7"/>
      <c r="N12" s="7"/>
      <c r="O12" s="7"/>
      <c r="P12" s="7"/>
    </row>
    <row r="13" spans="1:16" s="2" customFormat="1" ht="24" hidden="1" customHeight="1">
      <c r="A13" s="8"/>
      <c r="B13" s="8"/>
      <c r="C13" s="63"/>
      <c r="D13" s="62">
        <v>0.06</v>
      </c>
      <c r="E13" s="78" t="s">
        <v>7</v>
      </c>
      <c r="F13" s="79"/>
      <c r="G13" s="64"/>
      <c r="H13" s="43"/>
      <c r="I13" s="43"/>
      <c r="J13" s="43"/>
      <c r="K13" s="43"/>
      <c r="L13" s="43"/>
      <c r="M13" s="8"/>
      <c r="N13" s="8"/>
      <c r="O13" s="8"/>
      <c r="P13" s="8"/>
    </row>
    <row r="14" spans="1:16" hidden="1">
      <c r="A14" s="7"/>
      <c r="B14" s="7"/>
      <c r="C14" s="45"/>
      <c r="D14" s="62"/>
      <c r="E14" s="78" t="s">
        <v>9</v>
      </c>
      <c r="F14" s="79"/>
      <c r="G14" s="61"/>
      <c r="H14" s="42"/>
      <c r="I14" s="42"/>
      <c r="J14" s="42"/>
      <c r="K14" s="42"/>
      <c r="L14" s="42"/>
      <c r="M14" s="7"/>
      <c r="N14" s="7"/>
      <c r="O14" s="7"/>
      <c r="P14" s="7"/>
    </row>
    <row r="15" spans="1:16" ht="29.25" hidden="1" customHeight="1">
      <c r="A15" s="7"/>
      <c r="B15" s="7"/>
      <c r="C15" s="45"/>
      <c r="D15" s="45"/>
      <c r="E15" s="45"/>
      <c r="F15" s="65"/>
      <c r="G15" s="65"/>
      <c r="H15" s="66"/>
      <c r="I15" s="67"/>
      <c r="J15" s="67"/>
      <c r="K15" s="67"/>
      <c r="L15" s="42"/>
      <c r="M15" s="7"/>
      <c r="N15" s="7"/>
      <c r="O15" s="7"/>
      <c r="P15" s="7"/>
    </row>
    <row r="16" spans="1:16" ht="2.25" customHeight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 ht="10.5" customHeight="1" thickBot="1">
      <c r="A17" s="7"/>
      <c r="B17" s="7"/>
      <c r="C17" s="42"/>
      <c r="D17" s="42"/>
      <c r="E17" s="42"/>
      <c r="F17" s="66"/>
      <c r="G17" s="66"/>
      <c r="H17" s="66"/>
      <c r="I17" s="67"/>
      <c r="J17" s="67"/>
      <c r="K17" s="67"/>
      <c r="L17" s="42"/>
      <c r="M17" s="7"/>
      <c r="N17" s="7"/>
      <c r="O17" s="7"/>
      <c r="P17" s="7"/>
    </row>
    <row r="18" spans="1:16">
      <c r="A18" s="7"/>
      <c r="B18" s="7"/>
      <c r="C18" s="42"/>
      <c r="D18" s="83" t="s">
        <v>51</v>
      </c>
      <c r="E18" s="84"/>
      <c r="F18" s="84"/>
      <c r="G18" s="84"/>
      <c r="H18" s="84"/>
      <c r="I18" s="84"/>
      <c r="J18" s="85"/>
      <c r="K18" s="6"/>
      <c r="L18" s="42"/>
      <c r="M18" s="7"/>
      <c r="N18" s="7"/>
      <c r="O18" s="7"/>
      <c r="P18" s="7"/>
    </row>
    <row r="19" spans="1:16" ht="23.25">
      <c r="A19" s="7"/>
      <c r="B19" s="7"/>
      <c r="C19" s="42"/>
      <c r="D19" s="36" t="s">
        <v>1</v>
      </c>
      <c r="E19" s="4" t="s">
        <v>2</v>
      </c>
      <c r="F19" s="4" t="s">
        <v>3</v>
      </c>
      <c r="G19" s="3" t="s">
        <v>6</v>
      </c>
      <c r="H19" s="80" t="s">
        <v>4</v>
      </c>
      <c r="I19" s="81"/>
      <c r="J19" s="82"/>
      <c r="K19" s="34" t="s">
        <v>0</v>
      </c>
      <c r="L19" s="42"/>
      <c r="M19" s="7"/>
      <c r="N19" s="7"/>
      <c r="O19" s="7"/>
      <c r="P19" s="7"/>
    </row>
    <row r="20" spans="1:16" ht="24" thickBot="1">
      <c r="A20" s="7"/>
      <c r="B20" s="7"/>
      <c r="C20" s="42"/>
      <c r="D20" s="37">
        <v>55</v>
      </c>
      <c r="E20" s="38">
        <v>14973.69</v>
      </c>
      <c r="F20" s="39">
        <v>3402</v>
      </c>
      <c r="G20" s="40">
        <f>F20*D13</f>
        <v>204.12</v>
      </c>
      <c r="H20" s="40">
        <f>E20*$D$11</f>
        <v>175.192173</v>
      </c>
      <c r="I20" s="40">
        <f>D20*D12</f>
        <v>347.6</v>
      </c>
      <c r="J20" s="41">
        <f>SUM(G20:I20)</f>
        <v>726.91217300000005</v>
      </c>
      <c r="K20" s="35">
        <f>J20/E20</f>
        <v>4.8545961149189014E-2</v>
      </c>
      <c r="L20" s="42"/>
      <c r="M20" s="7"/>
      <c r="N20" s="7"/>
      <c r="O20" s="7"/>
      <c r="P20" s="7"/>
    </row>
    <row r="21" spans="1:16" ht="22.5" customHeight="1">
      <c r="A21" s="7"/>
      <c r="B21" s="7"/>
      <c r="C21" s="42"/>
      <c r="D21" s="77" t="s">
        <v>10</v>
      </c>
      <c r="E21" s="77"/>
      <c r="F21" s="77"/>
      <c r="G21" s="42"/>
      <c r="H21" s="68"/>
      <c r="I21" s="42"/>
      <c r="J21" s="42"/>
      <c r="K21" s="5"/>
      <c r="L21" s="42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9"/>
      <c r="G22" s="9"/>
      <c r="H22" s="10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11"/>
      <c r="J23" s="7"/>
      <c r="K23" s="7"/>
      <c r="L23" s="12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9"/>
      <c r="I29" s="7"/>
      <c r="J29" s="7"/>
      <c r="K29" s="7"/>
      <c r="L29" s="7"/>
      <c r="M29" s="7"/>
      <c r="N29" s="7"/>
      <c r="O29" s="7"/>
      <c r="P29" s="7"/>
    </row>
    <row r="30" spans="1:16">
      <c r="H30" s="1"/>
    </row>
    <row r="31" spans="1:16">
      <c r="H31" s="1"/>
    </row>
    <row r="32" spans="1:16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</sheetData>
  <mergeCells count="9">
    <mergeCell ref="D2:J3"/>
    <mergeCell ref="D5:E5"/>
    <mergeCell ref="D21:F21"/>
    <mergeCell ref="E11:F11"/>
    <mergeCell ref="E14:F14"/>
    <mergeCell ref="H19:J19"/>
    <mergeCell ref="E13:F13"/>
    <mergeCell ref="E12:F12"/>
    <mergeCell ref="D18:J18"/>
  </mergeCells>
  <dataValidations count="1">
    <dataValidation type="list" allowBlank="1" showInputMessage="1" showErrorMessage="1" sqref="E22:E23 D15:E17 D22:D24">
      <formula1>#REF!</formula1>
    </dataValidation>
  </dataValidations>
  <hyperlinks>
    <hyperlink ref="D21" r:id="rId1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showGridLines="0" topLeftCell="B1" zoomScale="115" zoomScaleNormal="115" workbookViewId="0">
      <selection activeCell="J20" sqref="J20"/>
    </sheetView>
  </sheetViews>
  <sheetFormatPr defaultRowHeight="15"/>
  <cols>
    <col min="1" max="1" width="7.28515625" customWidth="1"/>
    <col min="2" max="2" width="16.140625" customWidth="1"/>
    <col min="3" max="3" width="7.85546875" customWidth="1"/>
    <col min="4" max="4" width="23.42578125" customWidth="1"/>
    <col min="5" max="5" width="23" customWidth="1"/>
    <col min="6" max="6" width="19.28515625" customWidth="1"/>
    <col min="7" max="7" width="25.140625" hidden="1" customWidth="1"/>
    <col min="8" max="8" width="18.42578125" hidden="1" customWidth="1"/>
    <col min="9" max="9" width="22.42578125" hidden="1" customWidth="1"/>
    <col min="10" max="10" width="28" customWidth="1"/>
    <col min="11" max="11" width="5.7109375" hidden="1" customWidth="1"/>
    <col min="12" max="12" width="5.5703125" bestFit="1" customWidth="1"/>
    <col min="13" max="13" width="3.5703125" customWidth="1"/>
  </cols>
  <sheetData>
    <row r="1" spans="1:16" ht="4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46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s="2" customFormat="1" ht="27" customHeight="1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2.25" customHeight="1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 ht="18" customHeight="1">
      <c r="A5" s="7"/>
      <c r="B5" s="7"/>
      <c r="C5" s="45"/>
      <c r="D5" s="92" t="s">
        <v>47</v>
      </c>
      <c r="E5" s="93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 ht="18" customHeight="1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18" customHeight="1">
      <c r="A7" s="7"/>
      <c r="B7" s="7"/>
      <c r="C7" s="45"/>
      <c r="D7" s="48" t="s">
        <v>49</v>
      </c>
      <c r="E7" s="52">
        <v>3.56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18" customHeight="1" thickBot="1">
      <c r="A8" s="7"/>
      <c r="B8" s="7"/>
      <c r="C8" s="45"/>
      <c r="D8" s="54" t="s">
        <v>50</v>
      </c>
      <c r="E8" s="55">
        <v>0.06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18" hidden="1" customHeight="1">
      <c r="A9" s="7"/>
      <c r="B9" s="7"/>
      <c r="C9" s="45"/>
      <c r="D9" s="56"/>
      <c r="E9" s="56"/>
      <c r="F9" s="57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15.75" hidden="1" customHeight="1">
      <c r="A10" s="7"/>
      <c r="B10" s="7"/>
      <c r="C10" s="45"/>
      <c r="D10" s="58"/>
      <c r="E10" s="58"/>
      <c r="F10" s="58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t="15.75" hidden="1" customHeight="1">
      <c r="A11" s="7"/>
      <c r="B11" s="7"/>
      <c r="C11" s="45"/>
      <c r="D11" s="60">
        <v>1.17E-2</v>
      </c>
      <c r="E11" s="78" t="s">
        <v>5</v>
      </c>
      <c r="F11" s="79"/>
      <c r="G11" s="58"/>
      <c r="H11" s="59"/>
      <c r="I11" s="59"/>
      <c r="J11" s="59"/>
      <c r="K11" s="59"/>
      <c r="L11" s="42"/>
      <c r="M11" s="7"/>
      <c r="N11" s="7"/>
      <c r="O11" s="7"/>
      <c r="P11" s="7"/>
    </row>
    <row r="12" spans="1:16" hidden="1">
      <c r="A12" s="7"/>
      <c r="B12" s="7"/>
      <c r="C12" s="45"/>
      <c r="D12" s="62">
        <v>3.56</v>
      </c>
      <c r="E12" s="78" t="s">
        <v>8</v>
      </c>
      <c r="F12" s="79"/>
      <c r="G12" s="61"/>
      <c r="H12" s="42"/>
      <c r="I12" s="42"/>
      <c r="J12" s="42"/>
      <c r="K12" s="42"/>
      <c r="L12" s="42"/>
      <c r="M12" s="7"/>
      <c r="N12" s="7"/>
      <c r="O12" s="7"/>
      <c r="P12" s="7"/>
    </row>
    <row r="13" spans="1:16" s="2" customFormat="1" ht="24" hidden="1" customHeight="1">
      <c r="A13" s="8"/>
      <c r="B13" s="8"/>
      <c r="C13" s="63"/>
      <c r="D13" s="62">
        <v>0.06</v>
      </c>
      <c r="E13" s="78" t="s">
        <v>7</v>
      </c>
      <c r="F13" s="79"/>
      <c r="G13" s="64"/>
      <c r="H13" s="43"/>
      <c r="I13" s="43"/>
      <c r="J13" s="43"/>
      <c r="K13" s="43"/>
      <c r="L13" s="43"/>
      <c r="M13" s="8"/>
      <c r="N13" s="8"/>
      <c r="O13" s="8"/>
      <c r="P13" s="8"/>
    </row>
    <row r="14" spans="1:16" hidden="1">
      <c r="A14" s="7"/>
      <c r="B14" s="7"/>
      <c r="C14" s="45"/>
      <c r="D14" s="62"/>
      <c r="E14" s="79" t="s">
        <v>9</v>
      </c>
      <c r="F14" s="79"/>
      <c r="G14" s="61"/>
      <c r="H14" s="42"/>
      <c r="I14" s="42"/>
      <c r="J14" s="42"/>
      <c r="K14" s="42"/>
      <c r="L14" s="42"/>
      <c r="M14" s="7"/>
      <c r="N14" s="7"/>
      <c r="O14" s="7"/>
      <c r="P14" s="7"/>
    </row>
    <row r="15" spans="1:16" ht="29.25" hidden="1" customHeight="1">
      <c r="A15" s="7"/>
      <c r="B15" s="7"/>
      <c r="C15" s="45"/>
      <c r="D15" s="45"/>
      <c r="E15" s="45"/>
      <c r="F15" s="65"/>
      <c r="G15" s="65"/>
      <c r="H15" s="66"/>
      <c r="I15" s="67"/>
      <c r="J15" s="67"/>
      <c r="K15" s="67"/>
      <c r="L15" s="42"/>
      <c r="M15" s="7"/>
      <c r="N15" s="7"/>
      <c r="O15" s="7"/>
      <c r="P15" s="7"/>
    </row>
    <row r="16" spans="1:16" ht="2.25" customHeight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 ht="10.5" customHeight="1" thickBot="1">
      <c r="A17" s="7"/>
      <c r="B17" s="7"/>
      <c r="C17" s="42"/>
      <c r="D17" s="42"/>
      <c r="E17" s="42"/>
      <c r="F17" s="66"/>
      <c r="G17" s="66"/>
      <c r="H17" s="66"/>
      <c r="I17" s="67"/>
      <c r="J17" s="67"/>
      <c r="K17" s="67"/>
      <c r="L17" s="42"/>
      <c r="M17" s="7"/>
      <c r="N17" s="7"/>
      <c r="O17" s="7"/>
      <c r="P17" s="7"/>
    </row>
    <row r="18" spans="1:16">
      <c r="A18" s="7"/>
      <c r="B18" s="7"/>
      <c r="C18" s="42"/>
      <c r="D18" s="83" t="s">
        <v>51</v>
      </c>
      <c r="E18" s="84"/>
      <c r="F18" s="84"/>
      <c r="G18" s="84"/>
      <c r="H18" s="86"/>
      <c r="I18" s="86"/>
      <c r="J18" s="87"/>
      <c r="K18" s="6"/>
      <c r="L18" s="42"/>
      <c r="M18" s="7"/>
      <c r="N18" s="7"/>
      <c r="O18" s="7"/>
      <c r="P18" s="7"/>
    </row>
    <row r="19" spans="1:16" ht="23.25">
      <c r="A19" s="7"/>
      <c r="B19" s="7"/>
      <c r="C19" s="42"/>
      <c r="D19" s="36" t="s">
        <v>1</v>
      </c>
      <c r="E19" s="4" t="s">
        <v>2</v>
      </c>
      <c r="F19" s="4" t="s">
        <v>3</v>
      </c>
      <c r="G19" s="3" t="s">
        <v>6</v>
      </c>
      <c r="H19" s="88" t="s">
        <v>4</v>
      </c>
      <c r="I19" s="89"/>
      <c r="J19" s="90"/>
      <c r="K19" s="34" t="s">
        <v>0</v>
      </c>
      <c r="L19" s="42"/>
      <c r="M19" s="7"/>
      <c r="N19" s="7"/>
      <c r="O19" s="7"/>
      <c r="P19" s="7"/>
    </row>
    <row r="20" spans="1:16" ht="24" thickBot="1">
      <c r="A20" s="7"/>
      <c r="B20" s="7"/>
      <c r="C20" s="42"/>
      <c r="D20" s="37">
        <v>100</v>
      </c>
      <c r="E20" s="38">
        <v>36341.919999999998</v>
      </c>
      <c r="F20" s="39">
        <v>3580</v>
      </c>
      <c r="G20" s="40">
        <f>F20*D13</f>
        <v>214.79999999999998</v>
      </c>
      <c r="H20" s="40">
        <f>E20*$D$11</f>
        <v>425.20046400000001</v>
      </c>
      <c r="I20" s="40">
        <f>D20*D12</f>
        <v>356</v>
      </c>
      <c r="J20" s="41">
        <f>SUM(G20:I20)</f>
        <v>996.00046399999997</v>
      </c>
      <c r="K20" s="35">
        <f>J20/E20</f>
        <v>2.7406379850046448E-2</v>
      </c>
      <c r="L20" s="42"/>
      <c r="M20" s="7"/>
      <c r="N20" s="7"/>
      <c r="O20" s="7"/>
      <c r="P20" s="7"/>
    </row>
    <row r="21" spans="1:16" ht="22.5" customHeight="1">
      <c r="A21" s="7"/>
      <c r="B21" s="7"/>
      <c r="C21" s="42"/>
      <c r="D21" s="91" t="s">
        <v>10</v>
      </c>
      <c r="E21" s="91"/>
      <c r="F21" s="91"/>
      <c r="G21" s="42"/>
      <c r="H21" s="68"/>
      <c r="I21" s="42"/>
      <c r="J21" s="42"/>
      <c r="K21" s="42"/>
      <c r="L21" s="42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9"/>
      <c r="G22" s="9"/>
      <c r="H22" s="10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11"/>
      <c r="J23" s="7"/>
      <c r="K23" s="7"/>
      <c r="L23" s="12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9"/>
      <c r="I29" s="7"/>
      <c r="J29" s="7"/>
      <c r="K29" s="7"/>
      <c r="L29" s="7"/>
      <c r="M29" s="7"/>
      <c r="N29" s="7"/>
      <c r="O29" s="7"/>
      <c r="P29" s="7"/>
    </row>
    <row r="30" spans="1:16">
      <c r="H30" s="1"/>
    </row>
    <row r="31" spans="1:16">
      <c r="H31" s="1"/>
    </row>
    <row r="32" spans="1:16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</sheetData>
  <mergeCells count="9">
    <mergeCell ref="D18:J18"/>
    <mergeCell ref="H19:J19"/>
    <mergeCell ref="D21:F21"/>
    <mergeCell ref="D2:J3"/>
    <mergeCell ref="D5:E5"/>
    <mergeCell ref="E11:F11"/>
    <mergeCell ref="E12:F12"/>
    <mergeCell ref="E13:F13"/>
    <mergeCell ref="E14:F14"/>
  </mergeCells>
  <dataValidations count="1">
    <dataValidation type="list" allowBlank="1" showInputMessage="1" showErrorMessage="1" sqref="E22:E23 D15:E17 D22:D24">
      <formula1>#REF!</formula1>
    </dataValidation>
  </dataValidations>
  <hyperlinks>
    <hyperlink ref="D21" r:id="rId1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showGridLines="0" workbookViewId="0">
      <selection activeCell="D20" sqref="D20"/>
    </sheetView>
  </sheetViews>
  <sheetFormatPr defaultRowHeight="15"/>
  <cols>
    <col min="1" max="1" width="7.28515625" customWidth="1"/>
    <col min="2" max="2" width="18" customWidth="1"/>
    <col min="3" max="3" width="7.85546875" customWidth="1"/>
    <col min="4" max="4" width="23.42578125" customWidth="1"/>
    <col min="5" max="5" width="23" customWidth="1"/>
    <col min="6" max="6" width="19.28515625" customWidth="1"/>
    <col min="7" max="7" width="25.140625" hidden="1" customWidth="1"/>
    <col min="8" max="8" width="18.42578125" hidden="1" customWidth="1"/>
    <col min="9" max="9" width="22.42578125" hidden="1" customWidth="1"/>
    <col min="10" max="10" width="28" customWidth="1"/>
    <col min="11" max="11" width="5.7109375" customWidth="1"/>
    <col min="12" max="12" width="5.5703125" bestFit="1" customWidth="1"/>
    <col min="13" max="13" width="3.5703125" customWidth="1"/>
  </cols>
  <sheetData>
    <row r="1" spans="1:16" ht="4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54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s="2" customFormat="1" ht="27" customHeight="1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2.25" customHeight="1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 ht="18" customHeight="1">
      <c r="A5" s="7"/>
      <c r="B5" s="7"/>
      <c r="C5" s="45"/>
      <c r="D5" s="92" t="s">
        <v>47</v>
      </c>
      <c r="E5" s="93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 ht="18" customHeight="1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18" customHeight="1">
      <c r="A7" s="7"/>
      <c r="B7" s="7"/>
      <c r="C7" s="45"/>
      <c r="D7" s="48" t="s">
        <v>49</v>
      </c>
      <c r="E7" s="52">
        <v>3.75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18" customHeight="1" thickBot="1">
      <c r="A8" s="7"/>
      <c r="B8" s="7"/>
      <c r="C8" s="45"/>
      <c r="D8" s="54" t="s">
        <v>50</v>
      </c>
      <c r="E8" s="55">
        <v>7.0000000000000007E-2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18" customHeight="1">
      <c r="A9" s="7"/>
      <c r="B9" s="7"/>
      <c r="C9" s="45"/>
      <c r="D9" s="56"/>
      <c r="E9" s="56"/>
      <c r="F9" s="57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15.75" hidden="1" customHeight="1">
      <c r="A10" s="7"/>
      <c r="B10" s="7"/>
      <c r="C10" s="45"/>
      <c r="D10" s="58"/>
      <c r="E10" s="58"/>
      <c r="F10" s="58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t="15.75" hidden="1" customHeight="1">
      <c r="A11" s="7"/>
      <c r="B11" s="7"/>
      <c r="C11" s="45"/>
      <c r="D11" s="60">
        <v>1.17E-2</v>
      </c>
      <c r="E11" s="78" t="s">
        <v>5</v>
      </c>
      <c r="F11" s="79"/>
      <c r="G11" s="58"/>
      <c r="H11" s="59"/>
      <c r="I11" s="59"/>
      <c r="J11" s="59"/>
      <c r="K11" s="59"/>
      <c r="L11" s="42"/>
      <c r="M11" s="7"/>
      <c r="N11" s="7"/>
      <c r="O11" s="7"/>
      <c r="P11" s="7"/>
    </row>
    <row r="12" spans="1:16" hidden="1">
      <c r="A12" s="7"/>
      <c r="B12" s="7"/>
      <c r="C12" s="45"/>
      <c r="D12" s="62">
        <v>3.95</v>
      </c>
      <c r="E12" s="78" t="s">
        <v>8</v>
      </c>
      <c r="F12" s="79"/>
      <c r="G12" s="61"/>
      <c r="H12" s="42"/>
      <c r="I12" s="42"/>
      <c r="J12" s="42"/>
      <c r="K12" s="42"/>
      <c r="L12" s="42"/>
      <c r="M12" s="7"/>
      <c r="N12" s="7"/>
      <c r="O12" s="7"/>
      <c r="P12" s="7"/>
    </row>
    <row r="13" spans="1:16" s="2" customFormat="1" ht="24" hidden="1" customHeight="1">
      <c r="A13" s="8"/>
      <c r="B13" s="8"/>
      <c r="C13" s="63"/>
      <c r="D13" s="62">
        <v>7.0000000000000007E-2</v>
      </c>
      <c r="E13" s="78" t="s">
        <v>7</v>
      </c>
      <c r="F13" s="79"/>
      <c r="G13" s="64"/>
      <c r="H13" s="43"/>
      <c r="I13" s="43"/>
      <c r="J13" s="43"/>
      <c r="K13" s="43"/>
      <c r="L13" s="43"/>
      <c r="M13" s="8"/>
      <c r="N13" s="8"/>
      <c r="O13" s="8"/>
      <c r="P13" s="8"/>
    </row>
    <row r="14" spans="1:16" hidden="1">
      <c r="A14" s="7"/>
      <c r="B14" s="7"/>
      <c r="C14" s="45"/>
      <c r="D14" s="62"/>
      <c r="E14" s="79" t="s">
        <v>9</v>
      </c>
      <c r="F14" s="79"/>
      <c r="G14" s="61"/>
      <c r="H14" s="42"/>
      <c r="I14" s="42"/>
      <c r="J14" s="42"/>
      <c r="K14" s="42"/>
      <c r="L14" s="42"/>
      <c r="M14" s="7"/>
      <c r="N14" s="7"/>
      <c r="O14" s="7"/>
      <c r="P14" s="7"/>
    </row>
    <row r="15" spans="1:16" ht="29.25" hidden="1" customHeight="1">
      <c r="A15" s="7"/>
      <c r="B15" s="7"/>
      <c r="C15" s="45"/>
      <c r="D15" s="45"/>
      <c r="E15" s="45"/>
      <c r="F15" s="65"/>
      <c r="G15" s="65"/>
      <c r="H15" s="66"/>
      <c r="I15" s="67"/>
      <c r="J15" s="67"/>
      <c r="K15" s="67"/>
      <c r="L15" s="42"/>
      <c r="M15" s="7"/>
      <c r="N15" s="7"/>
      <c r="O15" s="7"/>
      <c r="P15" s="7"/>
    </row>
    <row r="16" spans="1:16" ht="2.25" customHeight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 ht="10.5" customHeight="1" thickBot="1">
      <c r="A17" s="7"/>
      <c r="B17" s="7"/>
      <c r="C17" s="42"/>
      <c r="D17" s="42"/>
      <c r="E17" s="42"/>
      <c r="F17" s="66"/>
      <c r="G17" s="66"/>
      <c r="H17" s="66"/>
      <c r="I17" s="67"/>
      <c r="J17" s="67"/>
      <c r="K17" s="67"/>
      <c r="L17" s="42"/>
      <c r="M17" s="7"/>
      <c r="N17" s="7"/>
      <c r="O17" s="7"/>
      <c r="P17" s="7"/>
    </row>
    <row r="18" spans="1:16">
      <c r="A18" s="7"/>
      <c r="B18" s="7"/>
      <c r="C18" s="42"/>
      <c r="D18" s="83" t="s">
        <v>51</v>
      </c>
      <c r="E18" s="84"/>
      <c r="F18" s="84"/>
      <c r="G18" s="84"/>
      <c r="H18" s="86"/>
      <c r="I18" s="86"/>
      <c r="J18" s="87"/>
      <c r="K18" s="6"/>
      <c r="L18" s="42"/>
      <c r="M18" s="7"/>
      <c r="N18" s="7"/>
      <c r="O18" s="7"/>
      <c r="P18" s="7"/>
    </row>
    <row r="19" spans="1:16" ht="23.25">
      <c r="A19" s="7"/>
      <c r="B19" s="7"/>
      <c r="C19" s="42"/>
      <c r="D19" s="36" t="s">
        <v>1</v>
      </c>
      <c r="E19" s="4" t="s">
        <v>2</v>
      </c>
      <c r="F19" s="4" t="s">
        <v>3</v>
      </c>
      <c r="G19" s="3" t="s">
        <v>6</v>
      </c>
      <c r="H19" s="88" t="s">
        <v>4</v>
      </c>
      <c r="I19" s="89"/>
      <c r="J19" s="90"/>
      <c r="K19" s="34" t="s">
        <v>0</v>
      </c>
      <c r="L19" s="42"/>
      <c r="M19" s="7"/>
      <c r="N19" s="7"/>
      <c r="O19" s="7"/>
      <c r="P19" s="7"/>
    </row>
    <row r="20" spans="1:16" ht="24" thickBot="1">
      <c r="A20" s="7"/>
      <c r="B20" s="7"/>
      <c r="C20" s="42"/>
      <c r="D20" s="37">
        <v>274</v>
      </c>
      <c r="E20" s="38">
        <v>17973.599999999999</v>
      </c>
      <c r="F20" s="39">
        <v>4334</v>
      </c>
      <c r="G20" s="40">
        <f>F20*E8</f>
        <v>303.38000000000005</v>
      </c>
      <c r="H20" s="40">
        <f>E20*$E$6</f>
        <v>215.6832</v>
      </c>
      <c r="I20" s="40">
        <f>D20*E7</f>
        <v>1027.5</v>
      </c>
      <c r="J20" s="41">
        <f>SUM(G20:I20)</f>
        <v>1546.5632000000001</v>
      </c>
      <c r="K20" s="35">
        <f>J20/E20</f>
        <v>8.604637913384075E-2</v>
      </c>
      <c r="L20" s="42"/>
      <c r="M20" s="7"/>
      <c r="N20" s="7"/>
      <c r="O20" s="7"/>
      <c r="P20" s="7"/>
    </row>
    <row r="21" spans="1:16" ht="22.5" customHeight="1">
      <c r="A21" s="7"/>
      <c r="B21" s="7"/>
      <c r="C21" s="42"/>
      <c r="D21" s="91" t="s">
        <v>10</v>
      </c>
      <c r="E21" s="91"/>
      <c r="F21" s="91"/>
      <c r="G21" s="42"/>
      <c r="H21" s="68"/>
      <c r="I21" s="42"/>
      <c r="J21" s="42"/>
      <c r="K21" s="42"/>
      <c r="L21" s="42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9"/>
      <c r="G22" s="9"/>
      <c r="H22" s="10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11"/>
      <c r="J23" s="7"/>
      <c r="K23" s="7"/>
      <c r="L23" s="12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9"/>
      <c r="I29" s="7"/>
      <c r="J29" s="7"/>
      <c r="K29" s="7"/>
      <c r="L29" s="7"/>
      <c r="M29" s="7"/>
      <c r="N29" s="7"/>
      <c r="O29" s="7"/>
      <c r="P29" s="7"/>
    </row>
    <row r="30" spans="1:16">
      <c r="H30" s="1"/>
    </row>
    <row r="31" spans="1:16">
      <c r="H31" s="1"/>
    </row>
    <row r="32" spans="1:16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</sheetData>
  <mergeCells count="9">
    <mergeCell ref="D18:J18"/>
    <mergeCell ref="H19:J19"/>
    <mergeCell ref="D21:F21"/>
    <mergeCell ref="D2:J3"/>
    <mergeCell ref="D5:E5"/>
    <mergeCell ref="E11:F11"/>
    <mergeCell ref="E12:F12"/>
    <mergeCell ref="E13:F13"/>
    <mergeCell ref="E14:F14"/>
  </mergeCells>
  <dataValidations count="1">
    <dataValidation type="list" allowBlank="1" showInputMessage="1" showErrorMessage="1" sqref="E22:E23 D15:E17 D22:D24">
      <formula1>#REF!</formula1>
    </dataValidation>
  </dataValidations>
  <hyperlinks>
    <hyperlink ref="D21" r:id="rId1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showGridLines="0" topLeftCell="A7" zoomScale="115" zoomScaleNormal="115" workbookViewId="0">
      <selection activeCell="J20" sqref="J20"/>
    </sheetView>
  </sheetViews>
  <sheetFormatPr defaultRowHeight="15"/>
  <cols>
    <col min="1" max="1" width="7.28515625" customWidth="1"/>
    <col min="2" max="2" width="29" customWidth="1"/>
    <col min="3" max="3" width="7.85546875" customWidth="1"/>
    <col min="4" max="4" width="23.42578125" customWidth="1"/>
    <col min="5" max="5" width="23" customWidth="1"/>
    <col min="6" max="6" width="19.28515625" customWidth="1"/>
    <col min="7" max="7" width="25.140625" hidden="1" customWidth="1"/>
    <col min="8" max="8" width="18.42578125" hidden="1" customWidth="1"/>
    <col min="9" max="9" width="22.42578125" hidden="1" customWidth="1"/>
    <col min="10" max="10" width="28" customWidth="1"/>
    <col min="11" max="11" width="5.7109375" customWidth="1"/>
    <col min="12" max="12" width="5.5703125" bestFit="1" customWidth="1"/>
    <col min="13" max="13" width="3.5703125" customWidth="1"/>
  </cols>
  <sheetData>
    <row r="1" spans="1:16" ht="4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52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s="2" customFormat="1" ht="27" customHeight="1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2.25" customHeight="1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 ht="18" customHeight="1">
      <c r="A5" s="7"/>
      <c r="B5" s="7"/>
      <c r="C5" s="45"/>
      <c r="D5" s="92" t="s">
        <v>47</v>
      </c>
      <c r="E5" s="93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 ht="18" customHeight="1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18" customHeight="1">
      <c r="A7" s="7"/>
      <c r="B7" s="7"/>
      <c r="C7" s="45"/>
      <c r="D7" s="48" t="s">
        <v>49</v>
      </c>
      <c r="E7" s="52">
        <v>3.75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18" customHeight="1" thickBot="1">
      <c r="A8" s="7"/>
      <c r="B8" s="7"/>
      <c r="C8" s="45"/>
      <c r="D8" s="54" t="s">
        <v>50</v>
      </c>
      <c r="E8" s="55">
        <v>7.0000000000000007E-2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18" customHeight="1">
      <c r="A9" s="7"/>
      <c r="B9" s="7"/>
      <c r="C9" s="45"/>
      <c r="D9" s="56"/>
      <c r="E9" s="56"/>
      <c r="F9" s="57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15.75" hidden="1" customHeight="1">
      <c r="A10" s="7"/>
      <c r="B10" s="7"/>
      <c r="C10" s="45"/>
      <c r="D10" s="58"/>
      <c r="E10" s="58"/>
      <c r="F10" s="58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t="15.75" hidden="1" customHeight="1">
      <c r="A11" s="7"/>
      <c r="B11" s="7"/>
      <c r="C11" s="45"/>
      <c r="D11" s="60">
        <v>1.17E-2</v>
      </c>
      <c r="E11" s="78" t="s">
        <v>5</v>
      </c>
      <c r="F11" s="79"/>
      <c r="G11" s="58"/>
      <c r="H11" s="59"/>
      <c r="I11" s="59"/>
      <c r="J11" s="59"/>
      <c r="K11" s="59"/>
      <c r="L11" s="42"/>
      <c r="M11" s="7"/>
      <c r="N11" s="7"/>
      <c r="O11" s="7"/>
      <c r="P11" s="7"/>
    </row>
    <row r="12" spans="1:16" hidden="1">
      <c r="A12" s="7"/>
      <c r="B12" s="7"/>
      <c r="C12" s="45"/>
      <c r="D12" s="62">
        <v>3.95</v>
      </c>
      <c r="E12" s="78" t="s">
        <v>8</v>
      </c>
      <c r="F12" s="79"/>
      <c r="G12" s="61"/>
      <c r="H12" s="42"/>
      <c r="I12" s="42"/>
      <c r="J12" s="42"/>
      <c r="K12" s="42"/>
      <c r="L12" s="42"/>
      <c r="M12" s="7"/>
      <c r="N12" s="7"/>
      <c r="O12" s="7"/>
      <c r="P12" s="7"/>
    </row>
    <row r="13" spans="1:16" s="2" customFormat="1" ht="24" hidden="1" customHeight="1">
      <c r="A13" s="8"/>
      <c r="B13" s="8"/>
      <c r="C13" s="63"/>
      <c r="D13" s="62">
        <v>7.0000000000000007E-2</v>
      </c>
      <c r="E13" s="78" t="s">
        <v>7</v>
      </c>
      <c r="F13" s="79"/>
      <c r="G13" s="64"/>
      <c r="H13" s="43"/>
      <c r="I13" s="43"/>
      <c r="J13" s="43"/>
      <c r="K13" s="43"/>
      <c r="L13" s="43"/>
      <c r="M13" s="8"/>
      <c r="N13" s="8"/>
      <c r="O13" s="8"/>
      <c r="P13" s="8"/>
    </row>
    <row r="14" spans="1:16" hidden="1">
      <c r="A14" s="7"/>
      <c r="B14" s="7"/>
      <c r="C14" s="45"/>
      <c r="D14" s="62"/>
      <c r="E14" s="79" t="s">
        <v>9</v>
      </c>
      <c r="F14" s="79"/>
      <c r="G14" s="61"/>
      <c r="H14" s="42"/>
      <c r="I14" s="42"/>
      <c r="J14" s="42"/>
      <c r="K14" s="42"/>
      <c r="L14" s="42"/>
      <c r="M14" s="7"/>
      <c r="N14" s="7"/>
      <c r="O14" s="7"/>
      <c r="P14" s="7"/>
    </row>
    <row r="15" spans="1:16" ht="29.25" hidden="1" customHeight="1">
      <c r="A15" s="7"/>
      <c r="B15" s="7"/>
      <c r="C15" s="45"/>
      <c r="D15" s="45"/>
      <c r="E15" s="45"/>
      <c r="F15" s="65"/>
      <c r="G15" s="65"/>
      <c r="H15" s="66"/>
      <c r="I15" s="67"/>
      <c r="J15" s="67"/>
      <c r="K15" s="67"/>
      <c r="L15" s="42"/>
      <c r="M15" s="7"/>
      <c r="N15" s="7"/>
      <c r="O15" s="7"/>
      <c r="P15" s="7"/>
    </row>
    <row r="16" spans="1:16" ht="2.25" customHeight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 ht="10.5" customHeight="1" thickBot="1">
      <c r="A17" s="7"/>
      <c r="B17" s="7"/>
      <c r="C17" s="42"/>
      <c r="D17" s="42"/>
      <c r="E17" s="42"/>
      <c r="F17" s="66"/>
      <c r="G17" s="66"/>
      <c r="H17" s="66"/>
      <c r="I17" s="67"/>
      <c r="J17" s="67"/>
      <c r="K17" s="67"/>
      <c r="L17" s="42"/>
      <c r="M17" s="7"/>
      <c r="N17" s="7"/>
      <c r="O17" s="7"/>
      <c r="P17" s="7"/>
    </row>
    <row r="18" spans="1:16">
      <c r="A18" s="7"/>
      <c r="B18" s="7"/>
      <c r="C18" s="42"/>
      <c r="D18" s="83" t="s">
        <v>51</v>
      </c>
      <c r="E18" s="84"/>
      <c r="F18" s="84"/>
      <c r="G18" s="84"/>
      <c r="H18" s="86"/>
      <c r="I18" s="86"/>
      <c r="J18" s="87"/>
      <c r="K18" s="6"/>
      <c r="L18" s="42"/>
      <c r="M18" s="7"/>
      <c r="N18" s="7"/>
      <c r="O18" s="7"/>
      <c r="P18" s="7"/>
    </row>
    <row r="19" spans="1:16" ht="23.25">
      <c r="A19" s="7"/>
      <c r="B19" s="7"/>
      <c r="C19" s="42"/>
      <c r="D19" s="36" t="s">
        <v>1</v>
      </c>
      <c r="E19" s="4" t="s">
        <v>2</v>
      </c>
      <c r="F19" s="4" t="s">
        <v>3</v>
      </c>
      <c r="G19" s="3" t="s">
        <v>6</v>
      </c>
      <c r="H19" s="88" t="s">
        <v>4</v>
      </c>
      <c r="I19" s="89"/>
      <c r="J19" s="90"/>
      <c r="K19" s="34" t="s">
        <v>0</v>
      </c>
      <c r="L19" s="42"/>
      <c r="M19" s="7"/>
      <c r="N19" s="7"/>
      <c r="O19" s="7"/>
      <c r="P19" s="7"/>
    </row>
    <row r="20" spans="1:16" ht="24" thickBot="1">
      <c r="A20" s="7"/>
      <c r="B20" s="7"/>
      <c r="C20" s="42"/>
      <c r="D20" s="37">
        <v>127</v>
      </c>
      <c r="E20" s="38">
        <v>8243.2099999999991</v>
      </c>
      <c r="F20" s="39">
        <v>2243</v>
      </c>
      <c r="G20" s="40">
        <f>F20*E8</f>
        <v>157.01000000000002</v>
      </c>
      <c r="H20" s="40">
        <f>E20*$E$6</f>
        <v>98.918519999999987</v>
      </c>
      <c r="I20" s="40">
        <f>D20*E7</f>
        <v>476.25</v>
      </c>
      <c r="J20" s="41">
        <f>SUM(G20:I20)</f>
        <v>732.17851999999993</v>
      </c>
      <c r="K20" s="35">
        <f>J20/E20</f>
        <v>8.8822014724846271E-2</v>
      </c>
      <c r="L20" s="42"/>
      <c r="M20" s="7"/>
      <c r="N20" s="7"/>
      <c r="O20" s="7"/>
      <c r="P20" s="7"/>
    </row>
    <row r="21" spans="1:16" ht="22.5" customHeight="1">
      <c r="A21" s="7"/>
      <c r="B21" s="7"/>
      <c r="C21" s="42"/>
      <c r="D21" s="91" t="s">
        <v>10</v>
      </c>
      <c r="E21" s="91"/>
      <c r="F21" s="91"/>
      <c r="G21" s="42"/>
      <c r="H21" s="68"/>
      <c r="I21" s="42"/>
      <c r="J21" s="42"/>
      <c r="K21" s="42"/>
      <c r="L21" s="42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9"/>
      <c r="G22" s="9"/>
      <c r="H22" s="10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11"/>
      <c r="J23" s="7"/>
      <c r="K23" s="7"/>
      <c r="L23" s="12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9"/>
      <c r="I29" s="7"/>
      <c r="J29" s="7"/>
      <c r="K29" s="7"/>
      <c r="L29" s="7"/>
      <c r="M29" s="7"/>
      <c r="N29" s="7"/>
      <c r="O29" s="7"/>
      <c r="P29" s="7"/>
    </row>
    <row r="30" spans="1:16">
      <c r="H30" s="1"/>
    </row>
    <row r="31" spans="1:16">
      <c r="H31" s="1"/>
    </row>
    <row r="32" spans="1:16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</sheetData>
  <mergeCells count="9">
    <mergeCell ref="D18:J18"/>
    <mergeCell ref="H19:J19"/>
    <mergeCell ref="D21:F21"/>
    <mergeCell ref="D2:J3"/>
    <mergeCell ref="D5:E5"/>
    <mergeCell ref="E11:F11"/>
    <mergeCell ref="E12:F12"/>
    <mergeCell ref="E13:F13"/>
    <mergeCell ref="E14:F14"/>
  </mergeCells>
  <dataValidations count="1">
    <dataValidation type="list" allowBlank="1" showInputMessage="1" showErrorMessage="1" sqref="E22:E23 D15:E17 D22:D24">
      <formula1>#REF!</formula1>
    </dataValidation>
  </dataValidations>
  <hyperlinks>
    <hyperlink ref="D21" r:id="rId1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0"/>
  <sheetViews>
    <sheetView showGridLines="0" zoomScale="110" zoomScaleNormal="110" workbookViewId="0">
      <selection activeCell="J20" sqref="J20"/>
    </sheetView>
  </sheetViews>
  <sheetFormatPr defaultRowHeight="15"/>
  <cols>
    <col min="1" max="1" width="7.28515625" customWidth="1"/>
    <col min="2" max="2" width="29" customWidth="1"/>
    <col min="3" max="3" width="7.85546875" customWidth="1"/>
    <col min="4" max="4" width="23.42578125" customWidth="1"/>
    <col min="5" max="5" width="23" customWidth="1"/>
    <col min="6" max="6" width="19.28515625" customWidth="1"/>
    <col min="7" max="7" width="25.140625" hidden="1" customWidth="1"/>
    <col min="8" max="8" width="18.42578125" hidden="1" customWidth="1"/>
    <col min="9" max="9" width="22.42578125" hidden="1" customWidth="1"/>
    <col min="10" max="10" width="28" customWidth="1"/>
    <col min="11" max="11" width="5.7109375" hidden="1" customWidth="1"/>
    <col min="12" max="12" width="5.5703125" bestFit="1" customWidth="1"/>
    <col min="13" max="13" width="3.5703125" customWidth="1"/>
    <col min="16" max="16" width="23" customWidth="1"/>
  </cols>
  <sheetData>
    <row r="1" spans="1:16" ht="4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53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s="2" customFormat="1" ht="27" customHeight="1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2.25" customHeight="1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 ht="18" customHeight="1">
      <c r="A5" s="7"/>
      <c r="B5" s="7"/>
      <c r="C5" s="45"/>
      <c r="D5" s="92" t="s">
        <v>47</v>
      </c>
      <c r="E5" s="93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 ht="18" customHeight="1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18" customHeight="1">
      <c r="A7" s="7"/>
      <c r="B7" s="7"/>
      <c r="C7" s="45"/>
      <c r="D7" s="48" t="s">
        <v>49</v>
      </c>
      <c r="E7" s="52">
        <v>3.85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18" customHeight="1" thickBot="1">
      <c r="A8" s="7"/>
      <c r="B8" s="7"/>
      <c r="C8" s="45"/>
      <c r="D8" s="54" t="s">
        <v>50</v>
      </c>
      <c r="E8" s="55">
        <v>0.08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18" hidden="1" customHeight="1">
      <c r="A9" s="7"/>
      <c r="B9" s="7"/>
      <c r="C9" s="45"/>
      <c r="D9" s="56"/>
      <c r="E9" s="56"/>
      <c r="F9" s="57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15.75" hidden="1" customHeight="1">
      <c r="A10" s="7"/>
      <c r="B10" s="7"/>
      <c r="C10" s="45"/>
      <c r="D10" s="58"/>
      <c r="E10" s="58"/>
      <c r="F10" s="58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t="15.75" hidden="1" customHeight="1">
      <c r="A11" s="7"/>
      <c r="B11" s="7"/>
      <c r="C11" s="45"/>
      <c r="D11" s="60">
        <f>E6</f>
        <v>1.2E-2</v>
      </c>
      <c r="E11" s="78" t="s">
        <v>5</v>
      </c>
      <c r="F11" s="79"/>
      <c r="G11" s="58"/>
      <c r="H11" s="59"/>
      <c r="I11" s="59"/>
      <c r="J11" s="59"/>
      <c r="K11" s="59"/>
      <c r="L11" s="42"/>
      <c r="M11" s="7"/>
      <c r="N11" s="7"/>
      <c r="O11" s="7"/>
      <c r="P11" s="7"/>
    </row>
    <row r="12" spans="1:16" hidden="1">
      <c r="A12" s="7"/>
      <c r="B12" s="7"/>
      <c r="C12" s="45"/>
      <c r="D12" s="62">
        <f>E7</f>
        <v>3.85</v>
      </c>
      <c r="E12" s="78" t="s">
        <v>8</v>
      </c>
      <c r="F12" s="79"/>
      <c r="G12" s="61"/>
      <c r="H12" s="42"/>
      <c r="I12" s="42"/>
      <c r="J12" s="42"/>
      <c r="K12" s="42"/>
      <c r="L12" s="42"/>
      <c r="M12" s="7"/>
      <c r="N12" s="7"/>
      <c r="O12" s="7"/>
      <c r="P12" s="7"/>
    </row>
    <row r="13" spans="1:16" s="2" customFormat="1" ht="24" hidden="1" customHeight="1">
      <c r="A13" s="8"/>
      <c r="B13" s="8"/>
      <c r="C13" s="63"/>
      <c r="D13" s="62">
        <f>E8</f>
        <v>0.08</v>
      </c>
      <c r="E13" s="78" t="s">
        <v>7</v>
      </c>
      <c r="F13" s="79"/>
      <c r="G13" s="64"/>
      <c r="H13" s="43"/>
      <c r="I13" s="43"/>
      <c r="J13" s="43"/>
      <c r="K13" s="43"/>
      <c r="L13" s="43"/>
      <c r="M13" s="8"/>
      <c r="N13" s="8"/>
      <c r="O13" s="8"/>
      <c r="P13" s="8"/>
    </row>
    <row r="14" spans="1:16" hidden="1">
      <c r="A14" s="7"/>
      <c r="B14" s="7"/>
      <c r="C14" s="45"/>
      <c r="D14" s="62"/>
      <c r="E14" s="79" t="s">
        <v>9</v>
      </c>
      <c r="F14" s="79"/>
      <c r="G14" s="61"/>
      <c r="H14" s="42"/>
      <c r="I14" s="42"/>
      <c r="J14" s="42"/>
      <c r="K14" s="42"/>
      <c r="L14" s="42"/>
      <c r="M14" s="7"/>
      <c r="N14" s="7"/>
      <c r="O14" s="7"/>
      <c r="P14" s="7"/>
    </row>
    <row r="15" spans="1:16" ht="29.25" hidden="1" customHeight="1">
      <c r="A15" s="7"/>
      <c r="B15" s="7"/>
      <c r="C15" s="45"/>
      <c r="D15" s="45"/>
      <c r="E15" s="45"/>
      <c r="F15" s="65"/>
      <c r="G15" s="65"/>
      <c r="H15" s="66"/>
      <c r="I15" s="67"/>
      <c r="J15" s="67"/>
      <c r="K15" s="67"/>
      <c r="L15" s="42"/>
      <c r="M15" s="7"/>
      <c r="N15" s="7"/>
      <c r="O15" s="7"/>
      <c r="P15" s="7"/>
    </row>
    <row r="16" spans="1:16" hidden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 ht="10.5" customHeight="1" thickBot="1">
      <c r="A17" s="7"/>
      <c r="B17" s="7"/>
      <c r="C17" s="42"/>
      <c r="D17" s="42"/>
      <c r="E17" s="42"/>
      <c r="F17" s="66"/>
      <c r="G17" s="66"/>
      <c r="H17" s="66"/>
      <c r="I17" s="67"/>
      <c r="J17" s="67"/>
      <c r="K17" s="67"/>
      <c r="L17" s="42"/>
      <c r="M17" s="7"/>
      <c r="N17" s="7"/>
      <c r="O17" s="7"/>
      <c r="P17" s="7"/>
    </row>
    <row r="18" spans="1:16">
      <c r="A18" s="7"/>
      <c r="B18" s="7"/>
      <c r="C18" s="42"/>
      <c r="D18" s="83" t="s">
        <v>51</v>
      </c>
      <c r="E18" s="84"/>
      <c r="F18" s="84"/>
      <c r="G18" s="84"/>
      <c r="H18" s="86"/>
      <c r="I18" s="86"/>
      <c r="J18" s="87"/>
      <c r="K18" s="6"/>
      <c r="L18" s="42"/>
      <c r="M18" s="7"/>
      <c r="N18" s="7"/>
      <c r="O18" s="7"/>
      <c r="P18" s="7"/>
    </row>
    <row r="19" spans="1:16" ht="23.25">
      <c r="A19" s="7"/>
      <c r="B19" s="7"/>
      <c r="C19" s="42"/>
      <c r="D19" s="36" t="s">
        <v>1</v>
      </c>
      <c r="E19" s="4" t="s">
        <v>2</v>
      </c>
      <c r="F19" s="4" t="s">
        <v>3</v>
      </c>
      <c r="G19" s="3" t="s">
        <v>6</v>
      </c>
      <c r="H19" s="88" t="s">
        <v>4</v>
      </c>
      <c r="I19" s="89"/>
      <c r="J19" s="90"/>
      <c r="K19" s="34" t="s">
        <v>0</v>
      </c>
      <c r="L19" s="42"/>
      <c r="M19" s="7"/>
      <c r="N19" s="7"/>
      <c r="O19" s="7"/>
      <c r="P19" s="7"/>
    </row>
    <row r="20" spans="1:16" ht="24" thickBot="1">
      <c r="A20" s="7"/>
      <c r="B20" s="7"/>
      <c r="C20" s="42"/>
      <c r="D20" s="37">
        <v>246</v>
      </c>
      <c r="E20" s="38">
        <v>38328.94</v>
      </c>
      <c r="F20" s="39">
        <v>2793</v>
      </c>
      <c r="G20" s="40">
        <f>F20*E8</f>
        <v>223.44</v>
      </c>
      <c r="H20" s="40">
        <f>E20*E6</f>
        <v>459.94728000000003</v>
      </c>
      <c r="I20" s="40">
        <f>D20*E7</f>
        <v>947.1</v>
      </c>
      <c r="J20" s="41">
        <f>SUM(G20:I20)</f>
        <v>1630.4872800000001</v>
      </c>
      <c r="K20" s="35">
        <f>J20/E20</f>
        <v>4.2539326159293733E-2</v>
      </c>
      <c r="L20" s="42"/>
      <c r="M20" s="7"/>
      <c r="N20" s="7"/>
      <c r="O20" s="7"/>
      <c r="P20" s="7"/>
    </row>
    <row r="21" spans="1:16" ht="22.5" customHeight="1">
      <c r="A21" s="7"/>
      <c r="B21" s="7"/>
      <c r="C21" s="42"/>
      <c r="D21" s="91" t="s">
        <v>10</v>
      </c>
      <c r="E21" s="91"/>
      <c r="F21" s="91"/>
      <c r="G21" s="42"/>
      <c r="H21" s="68"/>
      <c r="I21" s="42"/>
      <c r="J21" s="42"/>
      <c r="K21" s="42"/>
      <c r="L21" s="42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9"/>
      <c r="G22" s="9"/>
      <c r="H22" s="10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11"/>
      <c r="J23" s="7"/>
      <c r="K23" s="7"/>
      <c r="L23" s="12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9"/>
      <c r="I29" s="7"/>
      <c r="J29" s="7"/>
      <c r="K29" s="7"/>
      <c r="L29" s="7"/>
      <c r="M29" s="7"/>
      <c r="N29" s="7"/>
      <c r="O29" s="7"/>
      <c r="P29" s="7"/>
    </row>
    <row r="30" spans="1:16">
      <c r="H30" s="1"/>
    </row>
    <row r="31" spans="1:16">
      <c r="H31" s="1"/>
    </row>
    <row r="32" spans="1:16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</sheetData>
  <mergeCells count="9">
    <mergeCell ref="D18:J18"/>
    <mergeCell ref="H19:J19"/>
    <mergeCell ref="D21:F21"/>
    <mergeCell ref="D2:J3"/>
    <mergeCell ref="D5:E5"/>
    <mergeCell ref="E11:F11"/>
    <mergeCell ref="E12:F12"/>
    <mergeCell ref="E13:F13"/>
    <mergeCell ref="E14:F14"/>
  </mergeCells>
  <dataValidations count="1">
    <dataValidation type="list" allowBlank="1" showInputMessage="1" showErrorMessage="1" sqref="E22:E23 D15:E17 D22:D24">
      <formula1>#REF!</formula1>
    </dataValidation>
  </dataValidations>
  <hyperlinks>
    <hyperlink ref="D21" r:id="rId1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"/>
  <sheetViews>
    <sheetView showGridLines="0" workbookViewId="0">
      <selection activeCell="A19" sqref="A19:G19"/>
    </sheetView>
  </sheetViews>
  <sheetFormatPr defaultColWidth="10.28515625" defaultRowHeight="15"/>
  <cols>
    <col min="1" max="1" width="19" style="14" customWidth="1"/>
    <col min="2" max="2" width="21.42578125" style="14" customWidth="1"/>
    <col min="3" max="3" width="12.5703125" style="14" customWidth="1"/>
    <col min="4" max="4" width="1.5703125" style="14" customWidth="1"/>
    <col min="5" max="5" width="28.28515625" style="14" customWidth="1"/>
    <col min="6" max="6" width="3" style="14" customWidth="1"/>
    <col min="7" max="7" width="20.85546875" style="14" customWidth="1"/>
    <col min="8" max="16384" width="10.28515625" style="14"/>
  </cols>
  <sheetData>
    <row r="1" spans="1:7" ht="22.5">
      <c r="A1" s="135" t="s">
        <v>11</v>
      </c>
      <c r="B1" s="135"/>
      <c r="C1" s="135"/>
      <c r="D1" s="135"/>
      <c r="E1" s="135"/>
      <c r="F1" s="135"/>
      <c r="G1" s="135"/>
    </row>
    <row r="2" spans="1:7" ht="22.5">
      <c r="A2" s="13"/>
      <c r="B2" s="13"/>
      <c r="C2" s="13"/>
      <c r="D2" s="13"/>
      <c r="E2" s="13"/>
      <c r="F2" s="13"/>
      <c r="G2" s="13"/>
    </row>
    <row r="3" spans="1:7" ht="26.25">
      <c r="A3" s="136" t="s">
        <v>12</v>
      </c>
      <c r="B3" s="136"/>
      <c r="C3" s="136"/>
      <c r="D3" s="15"/>
      <c r="E3" s="136" t="s">
        <v>13</v>
      </c>
      <c r="F3" s="136"/>
      <c r="G3" s="136"/>
    </row>
    <row r="4" spans="1:7">
      <c r="A4" s="137" t="s">
        <v>14</v>
      </c>
      <c r="B4" s="138"/>
      <c r="C4" s="139"/>
      <c r="D4" s="16"/>
      <c r="E4" s="137" t="s">
        <v>15</v>
      </c>
      <c r="F4" s="138"/>
      <c r="G4" s="139"/>
    </row>
    <row r="5" spans="1:7">
      <c r="A5" s="112" t="s">
        <v>16</v>
      </c>
      <c r="B5" s="113"/>
      <c r="C5" s="114"/>
      <c r="D5" s="16"/>
      <c r="E5" s="112" t="s">
        <v>17</v>
      </c>
      <c r="F5" s="113"/>
      <c r="G5" s="114"/>
    </row>
    <row r="6" spans="1:7">
      <c r="A6" s="112" t="s">
        <v>18</v>
      </c>
      <c r="B6" s="113"/>
      <c r="C6" s="114"/>
      <c r="E6" s="112" t="s">
        <v>19</v>
      </c>
      <c r="F6" s="113"/>
      <c r="G6" s="114"/>
    </row>
    <row r="7" spans="1:7">
      <c r="A7" s="112" t="s">
        <v>20</v>
      </c>
      <c r="B7" s="113"/>
      <c r="C7" s="114"/>
      <c r="E7" s="115" t="s">
        <v>21</v>
      </c>
      <c r="F7" s="113"/>
      <c r="G7" s="114"/>
    </row>
    <row r="8" spans="1:7" ht="18" thickBot="1">
      <c r="A8" s="112" t="s">
        <v>22</v>
      </c>
      <c r="B8" s="113"/>
      <c r="C8" s="114"/>
      <c r="D8" s="17"/>
      <c r="E8" s="112" t="s">
        <v>23</v>
      </c>
      <c r="F8" s="113"/>
      <c r="G8" s="114"/>
    </row>
    <row r="9" spans="1:7" ht="18.75" thickTop="1" thickBot="1">
      <c r="A9" s="129" t="s">
        <v>24</v>
      </c>
      <c r="B9" s="130"/>
      <c r="C9" s="131"/>
      <c r="D9" s="17"/>
      <c r="E9" s="129" t="s">
        <v>25</v>
      </c>
      <c r="F9" s="130"/>
      <c r="G9" s="131"/>
    </row>
    <row r="10" spans="1:7" ht="18.75" thickTop="1" thickBot="1">
      <c r="A10" s="129" t="s">
        <v>26</v>
      </c>
      <c r="B10" s="130"/>
      <c r="C10" s="131"/>
      <c r="D10" s="17"/>
      <c r="E10" s="129" t="s">
        <v>27</v>
      </c>
      <c r="F10" s="130"/>
      <c r="G10" s="131"/>
    </row>
    <row r="11" spans="1:7" ht="15.75" thickTop="1">
      <c r="A11" s="132" t="s">
        <v>28</v>
      </c>
      <c r="B11" s="133"/>
      <c r="C11" s="134"/>
      <c r="E11" s="132" t="s">
        <v>29</v>
      </c>
      <c r="F11" s="133"/>
      <c r="G11" s="134"/>
    </row>
    <row r="12" spans="1:7">
      <c r="A12" s="112" t="s">
        <v>30</v>
      </c>
      <c r="B12" s="113"/>
      <c r="C12" s="114"/>
      <c r="E12" s="115" t="s">
        <v>31</v>
      </c>
      <c r="F12" s="113"/>
      <c r="G12" s="114"/>
    </row>
    <row r="13" spans="1:7">
      <c r="A13" s="116" t="s">
        <v>32</v>
      </c>
      <c r="B13" s="117"/>
      <c r="C13" s="118"/>
      <c r="E13" s="116" t="s">
        <v>33</v>
      </c>
      <c r="F13" s="119"/>
      <c r="G13" s="120"/>
    </row>
    <row r="14" spans="1:7">
      <c r="A14" s="121"/>
      <c r="B14" s="122"/>
      <c r="C14" s="123"/>
      <c r="E14" s="121"/>
      <c r="F14" s="122"/>
      <c r="G14" s="123"/>
    </row>
    <row r="15" spans="1:7">
      <c r="A15" s="124"/>
      <c r="B15" s="124"/>
      <c r="C15" s="124"/>
    </row>
    <row r="16" spans="1:7" ht="26.25">
      <c r="A16" s="125" t="s">
        <v>34</v>
      </c>
      <c r="B16" s="125"/>
      <c r="C16" s="125"/>
      <c r="D16" s="125"/>
      <c r="E16" s="125"/>
      <c r="F16" s="125"/>
      <c r="G16" s="125"/>
    </row>
    <row r="17" spans="1:7">
      <c r="A17" s="126" t="s">
        <v>35</v>
      </c>
      <c r="B17" s="127"/>
      <c r="C17" s="127"/>
      <c r="D17" s="127"/>
      <c r="E17" s="127"/>
      <c r="F17" s="127"/>
      <c r="G17" s="128"/>
    </row>
    <row r="18" spans="1:7">
      <c r="A18" s="94" t="s">
        <v>36</v>
      </c>
      <c r="B18" s="95"/>
      <c r="C18" s="95"/>
      <c r="D18" s="95"/>
      <c r="E18" s="95"/>
      <c r="F18" s="95"/>
      <c r="G18" s="96"/>
    </row>
    <row r="19" spans="1:7">
      <c r="A19" s="94" t="s">
        <v>37</v>
      </c>
      <c r="B19" s="95"/>
      <c r="C19" s="95"/>
      <c r="D19" s="95"/>
      <c r="E19" s="95"/>
      <c r="F19" s="95"/>
      <c r="G19" s="96"/>
    </row>
    <row r="20" spans="1:7">
      <c r="A20" s="94" t="s">
        <v>38</v>
      </c>
      <c r="B20" s="95"/>
      <c r="C20" s="95"/>
      <c r="D20" s="95"/>
      <c r="E20" s="95"/>
      <c r="F20" s="95"/>
      <c r="G20" s="96"/>
    </row>
    <row r="21" spans="1:7">
      <c r="A21" s="94" t="s">
        <v>39</v>
      </c>
      <c r="B21" s="95"/>
      <c r="C21" s="95"/>
      <c r="D21" s="95"/>
      <c r="E21" s="95"/>
      <c r="F21" s="95"/>
      <c r="G21" s="96"/>
    </row>
    <row r="22" spans="1:7">
      <c r="A22" s="18"/>
      <c r="B22" s="19"/>
      <c r="C22" s="19"/>
      <c r="D22" s="21"/>
      <c r="E22" s="22"/>
      <c r="F22" s="19"/>
      <c r="G22" s="20"/>
    </row>
    <row r="23" spans="1:7" ht="15.75" thickBot="1">
      <c r="D23" s="23"/>
      <c r="E23" s="24"/>
    </row>
    <row r="24" spans="1:7" ht="27" thickTop="1">
      <c r="A24" s="97" t="s">
        <v>40</v>
      </c>
      <c r="B24" s="97"/>
      <c r="C24" s="97"/>
      <c r="D24" s="97"/>
      <c r="E24" s="25"/>
    </row>
    <row r="25" spans="1:7">
      <c r="A25" s="26" t="s">
        <v>41</v>
      </c>
      <c r="B25" s="98"/>
      <c r="C25" s="99"/>
      <c r="D25" s="100"/>
      <c r="E25" s="27"/>
    </row>
    <row r="26" spans="1:7" ht="30" customHeight="1" thickBot="1">
      <c r="A26" s="28" t="s">
        <v>42</v>
      </c>
      <c r="B26" s="101"/>
      <c r="C26" s="102"/>
      <c r="D26" s="102"/>
      <c r="E26" s="29"/>
    </row>
    <row r="27" spans="1:7" ht="19.5" thickBot="1">
      <c r="A27" s="30" t="s">
        <v>43</v>
      </c>
      <c r="B27" s="31">
        <v>0</v>
      </c>
      <c r="C27" s="32"/>
      <c r="D27" s="32"/>
      <c r="E27" s="32"/>
    </row>
    <row r="29" spans="1:7">
      <c r="A29" s="33" t="s">
        <v>44</v>
      </c>
    </row>
    <row r="30" spans="1:7">
      <c r="A30" s="103"/>
      <c r="B30" s="104"/>
      <c r="C30" s="104"/>
      <c r="D30" s="104"/>
      <c r="E30" s="104"/>
      <c r="F30" s="105"/>
    </row>
    <row r="31" spans="1:7">
      <c r="A31" s="106"/>
      <c r="B31" s="107"/>
      <c r="C31" s="107"/>
      <c r="D31" s="107"/>
      <c r="E31" s="107"/>
      <c r="F31" s="108"/>
    </row>
    <row r="32" spans="1:7">
      <c r="A32" s="109"/>
      <c r="B32" s="110"/>
      <c r="C32" s="110"/>
      <c r="D32" s="110"/>
      <c r="E32" s="110"/>
      <c r="F32" s="111"/>
    </row>
  </sheetData>
  <mergeCells count="36">
    <mergeCell ref="A5:C5"/>
    <mergeCell ref="E5:G5"/>
    <mergeCell ref="A1:G1"/>
    <mergeCell ref="A3:C3"/>
    <mergeCell ref="E3:G3"/>
    <mergeCell ref="A4:C4"/>
    <mergeCell ref="E4:G4"/>
    <mergeCell ref="A6:C6"/>
    <mergeCell ref="E6:G6"/>
    <mergeCell ref="A7:C7"/>
    <mergeCell ref="E7:G7"/>
    <mergeCell ref="A8:C8"/>
    <mergeCell ref="E8:G8"/>
    <mergeCell ref="A9:C9"/>
    <mergeCell ref="E9:G9"/>
    <mergeCell ref="A10:C10"/>
    <mergeCell ref="E10:G10"/>
    <mergeCell ref="A11:C11"/>
    <mergeCell ref="E11:G11"/>
    <mergeCell ref="A20:G20"/>
    <mergeCell ref="A12:C12"/>
    <mergeCell ref="E12:G12"/>
    <mergeCell ref="A13:C13"/>
    <mergeCell ref="E13:G13"/>
    <mergeCell ref="A14:C14"/>
    <mergeCell ref="E14:G14"/>
    <mergeCell ref="A15:C15"/>
    <mergeCell ref="A16:G16"/>
    <mergeCell ref="A17:G17"/>
    <mergeCell ref="A18:G18"/>
    <mergeCell ref="A19:G19"/>
    <mergeCell ref="A21:G21"/>
    <mergeCell ref="A24:D24"/>
    <mergeCell ref="B25:D25"/>
    <mergeCell ref="B26:D26"/>
    <mergeCell ref="A30:F32"/>
  </mergeCells>
  <dataValidations count="22">
    <dataValidation allowBlank="1" showInputMessage="1" showErrorMessage="1" prompt="Acrescentar Nome de Contato, Número de Telefone e endereço de Email da empresa nesta célula" sqref="A26 E26"/>
    <dataValidation allowBlank="1" showInputMessage="1" showErrorMessage="1" prompt="O título desta planilha nesta célula. Insira Data, Número de Cotação e ID do Cliente nas células G2 a G5" sqref="A1:A2"/>
    <dataValidation allowBlank="1" showInputMessage="1" showErrorMessage="1" prompt="Insira a Data de término da cotação na célula à direita" sqref="D8"/>
    <dataValidation allowBlank="1" showInputMessage="1" showErrorMessage="1" prompt="Insira Preparado pelo nome na célula à direita" sqref="D9"/>
    <dataValidation allowBlank="1" showInputMessage="1" showErrorMessage="1" prompt="Insira o Número da cotação na célula à direita" sqref="D4"/>
    <dataValidation allowBlank="1" showInputMessage="1" showErrorMessage="1" prompt="Insira a Data de cotação na célula à direita" sqref="D3"/>
    <dataValidation allowBlank="1" showInputMessage="1" showErrorMessage="1" prompt="Insira a ID do Cliente na célula à direita" sqref="D5"/>
    <dataValidation allowBlank="1" showInputMessage="1" showErrorMessage="1" prompt="Insira a Alíquota de imposto nesta célula" sqref="E22"/>
    <dataValidation allowBlank="1" showInputMessage="1" showErrorMessage="1" prompt="Insira a Alíquota de Imposto na célula à direita" sqref="D22"/>
    <dataValidation allowBlank="1" showInputMessage="1" showErrorMessage="1" prompt="O imposto devido é calculado automaticamente nesta célula" sqref="E23"/>
    <dataValidation allowBlank="1" showInputMessage="1" showErrorMessage="1" prompt="O imposto devido é calculado automaticamente na célula à direita" sqref="D23"/>
    <dataValidation allowBlank="1" showInputMessage="1" showErrorMessage="1" prompt="O Total devido é calculado automaticamente nesta célula" sqref="E25"/>
    <dataValidation allowBlank="1" showInputMessage="1" showErrorMessage="1" prompt="Insira a Quantidade nesta coluna sob este título" sqref="A17:A21"/>
    <dataValidation allowBlank="1" showInputMessage="1" showErrorMessage="1" prompt="Insira Comentários ou Instruções Especiais na célula à direita" sqref="A16"/>
    <dataValidation allowBlank="1" showInputMessage="1" showErrorMessage="1" prompt="Insira o número de telefone do cliente nesta célula." sqref="A15:C15"/>
    <dataValidation allowBlank="1" showInputMessage="1" showErrorMessage="1" prompt="Insira o nome da empresa do cliente nesta célula." sqref="A12 E14 E12"/>
    <dataValidation allowBlank="1" showInputMessage="1" showErrorMessage="1" prompt="Insira o Nome do cliente nesta célula" sqref="A11:A13 E11 E13"/>
    <dataValidation allowBlank="1" showInputMessage="1" showErrorMessage="1" prompt="Insira o Nome do Cliente, Nome da Empresa, Endereço de Rua, e Número de Telefone nas células abaixo, da célula B8 a B12, Data de término da cotação na célula G7 e Preparado pelo nome na célula G8" sqref="A10 E10"/>
    <dataValidation allowBlank="1" showInputMessage="1" showErrorMessage="1" prompt="Insira os números de Telefone e Fax da empresa nesta célula" sqref="A9 E9"/>
    <dataValidation allowBlank="1" showInputMessage="1" showErrorMessage="1" prompt="Insira a Cidade, Estado e o CEP da empresa nesta célula" sqref="A8:C8 E8:G8"/>
    <dataValidation allowBlank="1" showInputMessage="1" showErrorMessage="1" prompt="Insira o Endereço de Rua da empresa nesta célula." sqref="B6:C6 A6:A7 E6:G6 E7"/>
    <dataValidation allowBlank="1" showInputMessage="1" showErrorMessage="1" prompt="Insira o Slogan da Empresa nesta célula e o endereço da empresa nas células abaixo, da célula B4 a B6" sqref="A3:C3 E3:G3 A24"/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8"/>
  <sheetViews>
    <sheetView workbookViewId="0">
      <selection activeCell="G19" sqref="G19"/>
    </sheetView>
  </sheetViews>
  <sheetFormatPr defaultRowHeight="15"/>
  <cols>
    <col min="4" max="4" width="22.140625" bestFit="1" customWidth="1"/>
    <col min="5" max="5" width="16.85546875" bestFit="1" customWidth="1"/>
    <col min="6" max="6" width="6.5703125" bestFit="1" customWidth="1"/>
    <col min="7" max="7" width="24.85546875" bestFit="1" customWidth="1"/>
    <col min="8" max="8" width="17.140625" bestFit="1" customWidth="1"/>
    <col min="9" max="9" width="19.85546875" bestFit="1" customWidth="1"/>
    <col min="10" max="10" width="20" bestFit="1" customWidth="1"/>
  </cols>
  <sheetData>
    <row r="1" spans="1:1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42"/>
      <c r="D2" s="74" t="s">
        <v>55</v>
      </c>
      <c r="E2" s="74"/>
      <c r="F2" s="74"/>
      <c r="G2" s="74"/>
      <c r="H2" s="74"/>
      <c r="I2" s="74"/>
      <c r="J2" s="74"/>
      <c r="K2" s="42"/>
      <c r="L2" s="42"/>
      <c r="M2" s="7"/>
      <c r="N2" s="7"/>
      <c r="O2" s="7"/>
      <c r="P2" s="7"/>
    </row>
    <row r="3" spans="1:16" ht="28.5">
      <c r="A3" s="8"/>
      <c r="B3" s="8"/>
      <c r="C3" s="43"/>
      <c r="D3" s="74"/>
      <c r="E3" s="74"/>
      <c r="F3" s="74"/>
      <c r="G3" s="74"/>
      <c r="H3" s="74"/>
      <c r="I3" s="74"/>
      <c r="J3" s="74"/>
      <c r="K3" s="44"/>
      <c r="L3" s="43"/>
      <c r="M3" s="8"/>
      <c r="N3" s="8"/>
      <c r="O3" s="8"/>
      <c r="P3" s="8"/>
    </row>
    <row r="4" spans="1:16" ht="15.75" thickBot="1">
      <c r="A4" s="7"/>
      <c r="B4" s="7"/>
      <c r="C4" s="42"/>
      <c r="D4" s="42"/>
      <c r="E4" s="42"/>
      <c r="F4" s="42"/>
      <c r="G4" s="42"/>
      <c r="H4" s="42"/>
      <c r="I4" s="42"/>
      <c r="J4" s="42"/>
      <c r="K4" s="42"/>
      <c r="L4" s="42"/>
      <c r="M4" s="7"/>
      <c r="N4" s="7"/>
      <c r="O4" s="7"/>
      <c r="P4" s="7"/>
    </row>
    <row r="5" spans="1:16">
      <c r="A5" s="7"/>
      <c r="B5" s="7"/>
      <c r="C5" s="45"/>
      <c r="D5" s="92" t="s">
        <v>47</v>
      </c>
      <c r="E5" s="93"/>
      <c r="F5" s="46"/>
      <c r="G5" s="47"/>
      <c r="H5" s="42"/>
      <c r="I5" s="42"/>
      <c r="J5" s="42"/>
      <c r="K5" s="42"/>
      <c r="L5" s="42"/>
      <c r="M5" s="7"/>
      <c r="N5" s="7"/>
      <c r="O5" s="7"/>
      <c r="P5" s="7"/>
    </row>
    <row r="6" spans="1:16">
      <c r="A6" s="7"/>
      <c r="B6" s="7"/>
      <c r="C6" s="45"/>
      <c r="D6" s="48" t="s">
        <v>48</v>
      </c>
      <c r="E6" s="49">
        <v>1.2E-2</v>
      </c>
      <c r="F6" s="50"/>
      <c r="G6" s="50"/>
      <c r="H6" s="42"/>
      <c r="I6" s="51"/>
      <c r="J6" s="51"/>
      <c r="K6" s="51"/>
      <c r="L6" s="42"/>
      <c r="M6" s="7"/>
      <c r="N6" s="7"/>
      <c r="O6" s="7"/>
      <c r="P6" s="7"/>
    </row>
    <row r="7" spans="1:16" ht="29.25" thickBot="1">
      <c r="A7" s="7"/>
      <c r="B7" s="7"/>
      <c r="C7" s="45"/>
      <c r="D7" s="69" t="s">
        <v>49</v>
      </c>
      <c r="E7" s="70">
        <v>3.95</v>
      </c>
      <c r="F7" s="50"/>
      <c r="G7" s="50"/>
      <c r="H7" s="42"/>
      <c r="I7" s="53"/>
      <c r="J7" s="53"/>
      <c r="K7" s="53"/>
      <c r="L7" s="42"/>
      <c r="M7" s="7"/>
      <c r="N7" s="7"/>
      <c r="O7" s="7"/>
      <c r="P7" s="7"/>
    </row>
    <row r="8" spans="1:16" ht="29.25" thickBot="1">
      <c r="A8" s="7"/>
      <c r="B8" s="7"/>
      <c r="C8" s="45"/>
      <c r="D8" s="72" t="s">
        <v>50</v>
      </c>
      <c r="E8" s="73">
        <v>0.08</v>
      </c>
      <c r="F8" s="50"/>
      <c r="G8" s="50"/>
      <c r="H8" s="42"/>
      <c r="I8" s="53"/>
      <c r="J8" s="53"/>
      <c r="K8" s="53"/>
      <c r="L8" s="42"/>
      <c r="M8" s="7"/>
      <c r="N8" s="7"/>
      <c r="O8" s="7"/>
      <c r="P8" s="7"/>
    </row>
    <row r="9" spans="1:16" ht="28.5" hidden="1">
      <c r="A9" s="7"/>
      <c r="B9" s="7"/>
      <c r="C9" s="45"/>
      <c r="D9" s="71"/>
      <c r="E9" s="71"/>
      <c r="F9" s="50"/>
      <c r="G9" s="50"/>
      <c r="H9" s="42"/>
      <c r="I9" s="53"/>
      <c r="J9" s="53"/>
      <c r="K9" s="53"/>
      <c r="L9" s="42"/>
      <c r="M9" s="7"/>
      <c r="N9" s="7"/>
      <c r="O9" s="7"/>
      <c r="P9" s="7"/>
    </row>
    <row r="10" spans="1:16" ht="28.5" hidden="1">
      <c r="A10" s="7"/>
      <c r="B10" s="7"/>
      <c r="C10" s="45"/>
      <c r="D10" s="60">
        <f>E6</f>
        <v>1.2E-2</v>
      </c>
      <c r="E10" s="78" t="s">
        <v>5</v>
      </c>
      <c r="F10" s="79"/>
      <c r="G10" s="58"/>
      <c r="H10" s="59"/>
      <c r="I10" s="59"/>
      <c r="J10" s="59"/>
      <c r="K10" s="59"/>
      <c r="L10" s="42"/>
      <c r="M10" s="7"/>
      <c r="N10" s="7"/>
      <c r="O10" s="7"/>
      <c r="P10" s="7"/>
    </row>
    <row r="11" spans="1:16" hidden="1">
      <c r="A11" s="7"/>
      <c r="B11" s="7"/>
      <c r="C11" s="45"/>
      <c r="D11" s="62">
        <f>E7</f>
        <v>3.95</v>
      </c>
      <c r="E11" s="78" t="s">
        <v>8</v>
      </c>
      <c r="F11" s="79"/>
      <c r="G11" s="61"/>
      <c r="H11" s="42"/>
      <c r="I11" s="42"/>
      <c r="J11" s="42"/>
      <c r="K11" s="42"/>
      <c r="L11" s="42"/>
      <c r="M11" s="7"/>
      <c r="N11" s="7"/>
      <c r="O11" s="7"/>
      <c r="P11" s="7"/>
    </row>
    <row r="12" spans="1:16" hidden="1">
      <c r="A12" s="8"/>
      <c r="B12" s="8"/>
      <c r="C12" s="63"/>
      <c r="D12" s="62">
        <f>E8</f>
        <v>0.08</v>
      </c>
      <c r="E12" s="78" t="s">
        <v>7</v>
      </c>
      <c r="F12" s="79"/>
      <c r="G12" s="64"/>
      <c r="H12" s="43"/>
      <c r="I12" s="43"/>
      <c r="J12" s="43"/>
      <c r="K12" s="43"/>
      <c r="L12" s="43"/>
      <c r="M12" s="8"/>
      <c r="N12" s="8"/>
      <c r="O12" s="8"/>
      <c r="P12" s="8"/>
    </row>
    <row r="13" spans="1:16" hidden="1">
      <c r="A13" s="7"/>
      <c r="B13" s="7"/>
      <c r="C13" s="45"/>
      <c r="D13" s="62"/>
      <c r="E13" s="79" t="s">
        <v>9</v>
      </c>
      <c r="F13" s="79"/>
      <c r="G13" s="61"/>
      <c r="H13" s="42"/>
      <c r="I13" s="42"/>
      <c r="J13" s="42"/>
      <c r="K13" s="42"/>
      <c r="L13" s="42"/>
      <c r="M13" s="7"/>
      <c r="N13" s="7"/>
      <c r="O13" s="7"/>
      <c r="P13" s="7"/>
    </row>
    <row r="14" spans="1:16" hidden="1">
      <c r="A14" s="7"/>
      <c r="B14" s="7"/>
      <c r="C14" s="45"/>
      <c r="D14" s="45"/>
      <c r="E14" s="45"/>
      <c r="F14" s="65"/>
      <c r="G14" s="65"/>
      <c r="H14" s="66"/>
      <c r="I14" s="67"/>
      <c r="J14" s="67"/>
      <c r="K14" s="67"/>
      <c r="L14" s="42"/>
      <c r="M14" s="7"/>
      <c r="N14" s="7"/>
      <c r="O14" s="7"/>
      <c r="P14" s="7"/>
    </row>
    <row r="15" spans="1:16" ht="15.75" thickBot="1">
      <c r="A15" s="7"/>
      <c r="B15" s="7"/>
      <c r="C15" s="42"/>
      <c r="D15" s="42"/>
      <c r="E15" s="42"/>
      <c r="F15" s="66"/>
      <c r="G15" s="66"/>
      <c r="H15" s="66"/>
      <c r="I15" s="67"/>
      <c r="J15" s="67"/>
      <c r="K15" s="67"/>
      <c r="L15" s="42"/>
      <c r="M15" s="7"/>
      <c r="N15" s="7"/>
      <c r="O15" s="7"/>
      <c r="P15" s="7"/>
    </row>
    <row r="16" spans="1:16" ht="15.75" hidden="1" thickBot="1">
      <c r="A16" s="7"/>
      <c r="B16" s="7"/>
      <c r="C16" s="42"/>
      <c r="D16" s="42"/>
      <c r="E16" s="42"/>
      <c r="F16" s="66"/>
      <c r="G16" s="66"/>
      <c r="H16" s="66"/>
      <c r="I16" s="67"/>
      <c r="J16" s="67"/>
      <c r="K16" s="67"/>
      <c r="L16" s="42"/>
      <c r="M16" s="7"/>
      <c r="N16" s="7"/>
      <c r="O16" s="7"/>
      <c r="P16" s="7"/>
    </row>
    <row r="17" spans="1:16">
      <c r="A17" s="7"/>
      <c r="B17" s="7"/>
      <c r="C17" s="42"/>
      <c r="D17" s="83" t="s">
        <v>51</v>
      </c>
      <c r="E17" s="84"/>
      <c r="F17" s="84"/>
      <c r="G17" s="84"/>
      <c r="H17" s="86"/>
      <c r="I17" s="86"/>
      <c r="J17" s="87"/>
      <c r="K17" s="6"/>
      <c r="L17" s="42"/>
      <c r="M17" s="7"/>
      <c r="N17" s="7"/>
      <c r="O17" s="7"/>
      <c r="P17" s="7"/>
    </row>
    <row r="18" spans="1:16" ht="23.25">
      <c r="A18" s="7"/>
      <c r="B18" s="7"/>
      <c r="C18" s="42"/>
      <c r="D18" s="36" t="s">
        <v>1</v>
      </c>
      <c r="E18" s="4" t="s">
        <v>2</v>
      </c>
      <c r="F18" s="4" t="s">
        <v>3</v>
      </c>
      <c r="G18" s="3" t="s">
        <v>6</v>
      </c>
      <c r="H18" s="88" t="s">
        <v>4</v>
      </c>
      <c r="I18" s="89"/>
      <c r="J18" s="90"/>
      <c r="K18" s="34" t="s">
        <v>0</v>
      </c>
      <c r="L18" s="42"/>
      <c r="M18" s="7"/>
      <c r="N18" s="7"/>
      <c r="O18" s="7"/>
      <c r="P18" s="7"/>
    </row>
    <row r="19" spans="1:16" ht="24" thickBot="1">
      <c r="A19" s="7"/>
      <c r="B19" s="7"/>
      <c r="C19" s="42"/>
      <c r="D19" s="37">
        <v>351</v>
      </c>
      <c r="E19" s="38">
        <v>17651.52</v>
      </c>
      <c r="F19" s="39">
        <v>4063</v>
      </c>
      <c r="G19" s="40">
        <f>F19*E8</f>
        <v>325.04000000000002</v>
      </c>
      <c r="H19" s="40">
        <f>E19*E6</f>
        <v>211.81824</v>
      </c>
      <c r="I19" s="40">
        <f>D19*E7</f>
        <v>1386.45</v>
      </c>
      <c r="J19" s="41">
        <f>SUM(G19:I19)</f>
        <v>1923.3082400000001</v>
      </c>
      <c r="K19" s="35">
        <f>J19/E19</f>
        <v>0.10895992186508584</v>
      </c>
      <c r="L19" s="42"/>
      <c r="M19" s="7"/>
      <c r="N19" s="7"/>
      <c r="O19" s="7"/>
      <c r="P19" s="7"/>
    </row>
    <row r="20" spans="1:16">
      <c r="A20" s="7"/>
      <c r="B20" s="7"/>
      <c r="C20" s="42"/>
      <c r="D20" s="91" t="s">
        <v>10</v>
      </c>
      <c r="E20" s="91"/>
      <c r="F20" s="91"/>
      <c r="G20" s="42"/>
      <c r="H20" s="68"/>
      <c r="I20" s="42"/>
      <c r="J20" s="42"/>
      <c r="K20" s="42"/>
      <c r="L20" s="42"/>
      <c r="M20" s="7"/>
      <c r="N20" s="7"/>
      <c r="O20" s="7"/>
      <c r="P20" s="7"/>
    </row>
    <row r="21" spans="1:16">
      <c r="A21" s="7"/>
      <c r="B21" s="7"/>
      <c r="C21" s="7"/>
      <c r="D21" s="7"/>
      <c r="E21" s="7"/>
      <c r="F21" s="9"/>
      <c r="G21" s="9"/>
      <c r="H21" s="10"/>
      <c r="I21" s="7"/>
      <c r="J21" s="7"/>
      <c r="K21" s="7"/>
      <c r="L21" s="7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7"/>
      <c r="G22" s="7"/>
      <c r="H22" s="7"/>
      <c r="I22" s="11"/>
      <c r="J22" s="7"/>
      <c r="K22" s="7"/>
      <c r="L22" s="12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9"/>
      <c r="I28" s="7"/>
      <c r="J28" s="7"/>
      <c r="K28" s="7"/>
      <c r="L28" s="7"/>
      <c r="M28" s="7"/>
      <c r="N28" s="7"/>
      <c r="O28" s="7"/>
      <c r="P28" s="7"/>
    </row>
  </sheetData>
  <mergeCells count="9">
    <mergeCell ref="D17:J17"/>
    <mergeCell ref="H18:J18"/>
    <mergeCell ref="D20:F20"/>
    <mergeCell ref="D2:J3"/>
    <mergeCell ref="D5:E5"/>
    <mergeCell ref="E10:F10"/>
    <mergeCell ref="E11:F11"/>
    <mergeCell ref="E12:F12"/>
    <mergeCell ref="E13:F13"/>
  </mergeCells>
  <dataValidations count="1">
    <dataValidation type="list" allowBlank="1" showInputMessage="1" showErrorMessage="1" sqref="E21:E22 D14:E16 D21:D23">
      <formula1>#REF!</formula1>
    </dataValidation>
  </dataValidations>
  <hyperlinks>
    <hyperlink ref="D20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RO</vt:lpstr>
      <vt:lpstr>MC</vt:lpstr>
      <vt:lpstr>MC S</vt:lpstr>
      <vt:lpstr>CF</vt:lpstr>
      <vt:lpstr>AR</vt:lpstr>
      <vt:lpstr>COTAÇÃO</vt:lpstr>
      <vt:lpstr>CP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Valores entregues por Rota</dc:title>
  <dc:creator>EXATA Sistemas</dc:creator>
  <cp:lastModifiedBy>ROVENDAS84</cp:lastModifiedBy>
  <cp:lastPrinted>2021-03-05T22:56:31Z</cp:lastPrinted>
  <dcterms:created xsi:type="dcterms:W3CDTF">2021-02-02T13:34:22Z</dcterms:created>
  <dcterms:modified xsi:type="dcterms:W3CDTF">2026-07-10T23:45:59Z</dcterms:modified>
</cp:coreProperties>
</file>